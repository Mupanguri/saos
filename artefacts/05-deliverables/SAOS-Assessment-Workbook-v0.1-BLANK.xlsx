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naldMupanguri\Downloads\"/>
    </mc:Choice>
  </mc:AlternateContent>
  <xr:revisionPtr revIDLastSave="0" documentId="8_{81756BB2-3FBB-4AD4-B377-84230E82A866}" xr6:coauthVersionLast="47" xr6:coauthVersionMax="47" xr10:uidLastSave="{00000000-0000-0000-0000-000000000000}"/>
  <bookViews>
    <workbookView xWindow="-110" yWindow="-110" windowWidth="19420" windowHeight="10300" tabRatio="500" firstSheet="15" activeTab="18" xr2:uid="{00000000-000D-0000-FFFF-FFFF00000000}"/>
  </bookViews>
  <sheets>
    <sheet name="README" sheetId="1" r:id="rId1"/>
    <sheet name="Scope" sheetId="2" r:id="rId2"/>
    <sheet name="Dashboard" sheetId="3" r:id="rId3"/>
    <sheet name="Assessment" sheetId="4" r:id="rId4"/>
    <sheet name="Evidence_Requests" sheetId="5" r:id="rId5"/>
    <sheet name="Evidence_Register" sheetId="6" r:id="rId6"/>
    <sheet name="Findings_Register" sheetId="7" r:id="rId7"/>
    <sheet name="Risk_Register" sheetId="8" r:id="rId8"/>
    <sheet name="Remediation_Tracker" sheetId="9" r:id="rId9"/>
    <sheet name="Crown_Jewels" sheetId="10" r:id="rId10"/>
    <sheet name="Attack_Paths" sheetId="11" r:id="rId11"/>
    <sheet name="Control_Library" sheetId="12" r:id="rId12"/>
    <sheet name="Mapping_Matrix" sheetId="13" r:id="rId13"/>
    <sheet name="MITRE_Matrix" sheetId="14" r:id="rId14"/>
    <sheet name="ZeroTrust_Matrix" sheetId="15" r:id="rId15"/>
    <sheet name="Maturity_Model" sheetId="16" r:id="rId16"/>
    <sheet name="Risk_Model" sheetId="17" r:id="rId17"/>
    <sheet name="Domain_Registry" sheetId="18" r:id="rId18"/>
    <sheet name="Lists" sheetId="19" r:id="rId19"/>
  </sheets>
  <definedNames>
    <definedName name="_xlnm._FilterDatabase" localSheetId="3" hidden="1">Assessment!$A$4:$AA$64</definedName>
    <definedName name="_xlnm._FilterDatabase" localSheetId="11" hidden="1">Control_Library!$A$4:$AG$64</definedName>
    <definedName name="_xlnm._FilterDatabase" localSheetId="4" hidden="1">Evidence_Requests!$A$4:$I$261</definedName>
    <definedName name="_xlnm._FilterDatabase" localSheetId="6" hidden="1">Findings_Register!$A$4:$N$205</definedName>
    <definedName name="_xlnm._FilterDatabase" localSheetId="12" hidden="1">Mapping_Matrix!$A$4:$M$64</definedName>
    <definedName name="_xlnm._FilterDatabase" localSheetId="8" hidden="1">Remediation_Tracker!$A$4:$O$205</definedName>
    <definedName name="_xlnm._FilterDatabase" localSheetId="7" hidden="1">Risk_Register!$A$4:$Q$205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3" i="18" l="1"/>
  <c r="I22" i="18"/>
  <c r="G22" i="18"/>
  <c r="F22" i="18"/>
  <c r="I21" i="18"/>
  <c r="G21" i="18"/>
  <c r="F21" i="18"/>
  <c r="F20" i="18"/>
  <c r="F19" i="18"/>
  <c r="F18" i="18"/>
  <c r="F17" i="18"/>
  <c r="F16" i="18"/>
  <c r="F15" i="18"/>
  <c r="F14" i="18"/>
  <c r="F13" i="18"/>
  <c r="F12" i="18"/>
  <c r="F11" i="18"/>
  <c r="F10" i="18"/>
  <c r="F9" i="18"/>
  <c r="F8" i="18"/>
  <c r="F7" i="18"/>
  <c r="F6" i="18"/>
  <c r="F5" i="18"/>
  <c r="F25" i="17"/>
  <c r="E25" i="17"/>
  <c r="D25" i="17"/>
  <c r="C25" i="17"/>
  <c r="B25" i="17"/>
  <c r="F24" i="17"/>
  <c r="E24" i="17"/>
  <c r="D24" i="17"/>
  <c r="C24" i="17"/>
  <c r="B24" i="17"/>
  <c r="F23" i="17"/>
  <c r="E23" i="17"/>
  <c r="D23" i="17"/>
  <c r="C23" i="17"/>
  <c r="B23" i="17"/>
  <c r="F22" i="17"/>
  <c r="E22" i="17"/>
  <c r="D22" i="17"/>
  <c r="C22" i="17"/>
  <c r="B22" i="17"/>
  <c r="F21" i="17"/>
  <c r="E21" i="17"/>
  <c r="D21" i="17"/>
  <c r="C21" i="17"/>
  <c r="B21" i="17"/>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I6" i="15"/>
  <c r="I5" i="15"/>
  <c r="H2" i="15"/>
  <c r="H3" i="15" s="1"/>
  <c r="G2" i="15"/>
  <c r="G3" i="15" s="1"/>
  <c r="F2" i="15"/>
  <c r="F3" i="15" s="1"/>
  <c r="E2" i="15"/>
  <c r="E3" i="15" s="1"/>
  <c r="D2" i="15"/>
  <c r="D3" i="15" s="1"/>
  <c r="C2" i="15"/>
  <c r="C3" i="15" s="1"/>
  <c r="R51" i="14"/>
  <c r="R50" i="14"/>
  <c r="R49" i="14"/>
  <c r="R48" i="14"/>
  <c r="R47" i="14"/>
  <c r="R46" i="14"/>
  <c r="R4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R11" i="14"/>
  <c r="R10" i="14"/>
  <c r="R9" i="14"/>
  <c r="R8" i="14"/>
  <c r="R7" i="14"/>
  <c r="R6" i="14"/>
  <c r="R5" i="14"/>
  <c r="M3" i="14"/>
  <c r="L3" i="14"/>
  <c r="K3" i="14"/>
  <c r="J3" i="14"/>
  <c r="I3" i="14"/>
  <c r="H3" i="14"/>
  <c r="G3" i="14"/>
  <c r="F3" i="14"/>
  <c r="E3" i="14"/>
  <c r="D3" i="14"/>
  <c r="C3" i="14"/>
  <c r="X64" i="12"/>
  <c r="Y64" i="12" s="1"/>
  <c r="X63" i="12"/>
  <c r="Y63" i="12" s="1"/>
  <c r="X62" i="12"/>
  <c r="Y62" i="12" s="1"/>
  <c r="X61" i="12"/>
  <c r="Y61" i="12" s="1"/>
  <c r="X60" i="12"/>
  <c r="Y60" i="12" s="1"/>
  <c r="X59" i="12"/>
  <c r="Y59" i="12" s="1"/>
  <c r="X58" i="12"/>
  <c r="Y58" i="12" s="1"/>
  <c r="X57" i="12"/>
  <c r="Y57" i="12" s="1"/>
  <c r="Y56" i="12"/>
  <c r="X56" i="12"/>
  <c r="X55" i="12"/>
  <c r="Y55" i="12" s="1"/>
  <c r="X54" i="12"/>
  <c r="Y54" i="12" s="1"/>
  <c r="Y53" i="12"/>
  <c r="X53" i="12"/>
  <c r="X52" i="12"/>
  <c r="Y52" i="12" s="1"/>
  <c r="X51" i="12"/>
  <c r="Y51" i="12" s="1"/>
  <c r="X50" i="12"/>
  <c r="Y50" i="12" s="1"/>
  <c r="X49" i="12"/>
  <c r="Y49" i="12" s="1"/>
  <c r="X48" i="12"/>
  <c r="Y48" i="12" s="1"/>
  <c r="X47" i="12"/>
  <c r="Y47" i="12" s="1"/>
  <c r="X46" i="12"/>
  <c r="Y46" i="12" s="1"/>
  <c r="X45" i="12"/>
  <c r="Y45" i="12" s="1"/>
  <c r="X44" i="12"/>
  <c r="Y44" i="12" s="1"/>
  <c r="X43" i="12"/>
  <c r="Y43" i="12" s="1"/>
  <c r="X42" i="12"/>
  <c r="Y42" i="12" s="1"/>
  <c r="X41" i="12"/>
  <c r="Y41" i="12" s="1"/>
  <c r="X40" i="12"/>
  <c r="Y40" i="12" s="1"/>
  <c r="X39" i="12"/>
  <c r="Y39" i="12" s="1"/>
  <c r="X38" i="12"/>
  <c r="Y38" i="12" s="1"/>
  <c r="X37" i="12"/>
  <c r="Y37" i="12" s="1"/>
  <c r="X36" i="12"/>
  <c r="Y36" i="12" s="1"/>
  <c r="X35" i="12"/>
  <c r="Y35" i="12" s="1"/>
  <c r="X34" i="12"/>
  <c r="Y34" i="12" s="1"/>
  <c r="X33" i="12"/>
  <c r="Y33" i="12" s="1"/>
  <c r="X32" i="12"/>
  <c r="Y32" i="12" s="1"/>
  <c r="X31" i="12"/>
  <c r="Y31" i="12" s="1"/>
  <c r="X30" i="12"/>
  <c r="Y30" i="12" s="1"/>
  <c r="X29" i="12"/>
  <c r="Y29" i="12" s="1"/>
  <c r="X28" i="12"/>
  <c r="Y28" i="12" s="1"/>
  <c r="X27" i="12"/>
  <c r="Y27" i="12" s="1"/>
  <c r="X26" i="12"/>
  <c r="Y26" i="12" s="1"/>
  <c r="X25" i="12"/>
  <c r="Y25" i="12" s="1"/>
  <c r="X24" i="12"/>
  <c r="Y24" i="12" s="1"/>
  <c r="X23" i="12"/>
  <c r="Y23" i="12" s="1"/>
  <c r="X22" i="12"/>
  <c r="Y22" i="12" s="1"/>
  <c r="X21" i="12"/>
  <c r="Y21" i="12" s="1"/>
  <c r="X20" i="12"/>
  <c r="Y20" i="12" s="1"/>
  <c r="X19" i="12"/>
  <c r="Y19" i="12" s="1"/>
  <c r="X18" i="12"/>
  <c r="Y18" i="12" s="1"/>
  <c r="X17" i="12"/>
  <c r="Y17" i="12" s="1"/>
  <c r="X16" i="12"/>
  <c r="Y16" i="12" s="1"/>
  <c r="X15" i="12"/>
  <c r="Y15" i="12" s="1"/>
  <c r="X14" i="12"/>
  <c r="Y14" i="12" s="1"/>
  <c r="X13" i="12"/>
  <c r="Y13" i="12" s="1"/>
  <c r="X12" i="12"/>
  <c r="Y12" i="12" s="1"/>
  <c r="X11" i="12"/>
  <c r="Y11" i="12" s="1"/>
  <c r="X10" i="12"/>
  <c r="Y10" i="12" s="1"/>
  <c r="X9" i="12"/>
  <c r="Y9" i="12" s="1"/>
  <c r="X8" i="12"/>
  <c r="Y8" i="12" s="1"/>
  <c r="X7" i="12"/>
  <c r="Y7" i="12" s="1"/>
  <c r="X6" i="12"/>
  <c r="Y6" i="12" s="1"/>
  <c r="X5" i="12"/>
  <c r="Y5" i="12" s="1"/>
  <c r="K25" i="11"/>
  <c r="L25" i="11" s="1"/>
  <c r="K24" i="11"/>
  <c r="L24" i="11" s="1"/>
  <c r="K23" i="11"/>
  <c r="L23" i="11" s="1"/>
  <c r="K22" i="11"/>
  <c r="L22" i="11" s="1"/>
  <c r="K21" i="11"/>
  <c r="L21" i="11" s="1"/>
  <c r="K20" i="11"/>
  <c r="L20" i="11" s="1"/>
  <c r="K19" i="11"/>
  <c r="L19" i="11" s="1"/>
  <c r="K18" i="11"/>
  <c r="L18" i="11" s="1"/>
  <c r="K17" i="11"/>
  <c r="L17" i="11" s="1"/>
  <c r="K16" i="11"/>
  <c r="L16" i="11" s="1"/>
  <c r="K15" i="11"/>
  <c r="L15" i="11" s="1"/>
  <c r="K14" i="11"/>
  <c r="L14" i="11" s="1"/>
  <c r="K13" i="11"/>
  <c r="L13" i="11" s="1"/>
  <c r="K12" i="11"/>
  <c r="L12" i="11" s="1"/>
  <c r="K11" i="11"/>
  <c r="L11" i="11" s="1"/>
  <c r="K10" i="11"/>
  <c r="L10" i="11" s="1"/>
  <c r="K9" i="11"/>
  <c r="L9" i="11" s="1"/>
  <c r="K8" i="11"/>
  <c r="L8" i="11" s="1"/>
  <c r="K7" i="11"/>
  <c r="L7" i="11" s="1"/>
  <c r="K6" i="11"/>
  <c r="L6" i="11" s="1"/>
  <c r="K5" i="11"/>
  <c r="L5" i="11" s="1"/>
  <c r="I25" i="10"/>
  <c r="I24" i="10"/>
  <c r="I23" i="10"/>
  <c r="I22" i="10"/>
  <c r="I21" i="10"/>
  <c r="I20" i="10"/>
  <c r="I19" i="10"/>
  <c r="I18" i="10"/>
  <c r="I17" i="10"/>
  <c r="I16" i="10"/>
  <c r="I15" i="10"/>
  <c r="I14" i="10"/>
  <c r="I13" i="10"/>
  <c r="I12" i="10"/>
  <c r="I11" i="10"/>
  <c r="I10" i="10"/>
  <c r="I9" i="10"/>
  <c r="I8" i="10"/>
  <c r="I7" i="10"/>
  <c r="I6" i="10"/>
  <c r="I5" i="10"/>
  <c r="M205" i="9"/>
  <c r="L205" i="9"/>
  <c r="D205" i="9"/>
  <c r="C205" i="9"/>
  <c r="M204" i="9"/>
  <c r="L204" i="9"/>
  <c r="D204" i="9"/>
  <c r="C204" i="9"/>
  <c r="M203" i="9"/>
  <c r="L203" i="9"/>
  <c r="D203" i="9"/>
  <c r="C203" i="9"/>
  <c r="M202" i="9"/>
  <c r="L202" i="9"/>
  <c r="D202" i="9"/>
  <c r="C202" i="9"/>
  <c r="M201" i="9"/>
  <c r="L201" i="9"/>
  <c r="D201" i="9"/>
  <c r="C201" i="9"/>
  <c r="M200" i="9"/>
  <c r="L200" i="9"/>
  <c r="D200" i="9"/>
  <c r="C200" i="9"/>
  <c r="M199" i="9"/>
  <c r="L199" i="9"/>
  <c r="D199" i="9"/>
  <c r="C199" i="9"/>
  <c r="M198" i="9"/>
  <c r="L198" i="9"/>
  <c r="D198" i="9"/>
  <c r="C198" i="9"/>
  <c r="M197" i="9"/>
  <c r="L197" i="9"/>
  <c r="D197" i="9"/>
  <c r="C197" i="9"/>
  <c r="M196" i="9"/>
  <c r="L196" i="9"/>
  <c r="D196" i="9"/>
  <c r="C196" i="9"/>
  <c r="M195" i="9"/>
  <c r="L195" i="9"/>
  <c r="D195" i="9"/>
  <c r="C195" i="9"/>
  <c r="M194" i="9"/>
  <c r="L194" i="9"/>
  <c r="D194" i="9"/>
  <c r="C194" i="9"/>
  <c r="M193" i="9"/>
  <c r="L193" i="9"/>
  <c r="D193" i="9"/>
  <c r="C193" i="9"/>
  <c r="M192" i="9"/>
  <c r="L192" i="9"/>
  <c r="D192" i="9"/>
  <c r="C192" i="9"/>
  <c r="M191" i="9"/>
  <c r="L191" i="9"/>
  <c r="D191" i="9"/>
  <c r="C191" i="9"/>
  <c r="M190" i="9"/>
  <c r="L190" i="9"/>
  <c r="D190" i="9"/>
  <c r="C190" i="9"/>
  <c r="M189" i="9"/>
  <c r="L189" i="9"/>
  <c r="D189" i="9"/>
  <c r="C189" i="9"/>
  <c r="M188" i="9"/>
  <c r="L188" i="9"/>
  <c r="D188" i="9"/>
  <c r="C188" i="9"/>
  <c r="M187" i="9"/>
  <c r="L187" i="9"/>
  <c r="D187" i="9"/>
  <c r="C187" i="9"/>
  <c r="M186" i="9"/>
  <c r="L186" i="9"/>
  <c r="D186" i="9"/>
  <c r="C186" i="9"/>
  <c r="M185" i="9"/>
  <c r="L185" i="9"/>
  <c r="D185" i="9"/>
  <c r="C185" i="9"/>
  <c r="M184" i="9"/>
  <c r="L184" i="9"/>
  <c r="D184" i="9"/>
  <c r="C184" i="9"/>
  <c r="M183" i="9"/>
  <c r="L183" i="9"/>
  <c r="D183" i="9"/>
  <c r="C183" i="9"/>
  <c r="M182" i="9"/>
  <c r="L182" i="9"/>
  <c r="D182" i="9"/>
  <c r="C182" i="9"/>
  <c r="M181" i="9"/>
  <c r="L181" i="9"/>
  <c r="D181" i="9"/>
  <c r="C181" i="9"/>
  <c r="M180" i="9"/>
  <c r="L180" i="9"/>
  <c r="D180" i="9"/>
  <c r="C180" i="9"/>
  <c r="M179" i="9"/>
  <c r="L179" i="9"/>
  <c r="D179" i="9"/>
  <c r="C179" i="9"/>
  <c r="M178" i="9"/>
  <c r="L178" i="9"/>
  <c r="D178" i="9"/>
  <c r="C178" i="9"/>
  <c r="M177" i="9"/>
  <c r="L177" i="9"/>
  <c r="D177" i="9"/>
  <c r="C177" i="9"/>
  <c r="M176" i="9"/>
  <c r="L176" i="9"/>
  <c r="D176" i="9"/>
  <c r="C176" i="9"/>
  <c r="M175" i="9"/>
  <c r="L175" i="9"/>
  <c r="D175" i="9"/>
  <c r="C175" i="9"/>
  <c r="M174" i="9"/>
  <c r="L174" i="9"/>
  <c r="D174" i="9"/>
  <c r="C174" i="9"/>
  <c r="M173" i="9"/>
  <c r="L173" i="9"/>
  <c r="D173" i="9"/>
  <c r="C173" i="9"/>
  <c r="M172" i="9"/>
  <c r="L172" i="9"/>
  <c r="D172" i="9"/>
  <c r="C172" i="9"/>
  <c r="M171" i="9"/>
  <c r="L171" i="9"/>
  <c r="D171" i="9"/>
  <c r="C171" i="9"/>
  <c r="M170" i="9"/>
  <c r="L170" i="9"/>
  <c r="D170" i="9"/>
  <c r="C170" i="9"/>
  <c r="M169" i="9"/>
  <c r="L169" i="9"/>
  <c r="D169" i="9"/>
  <c r="C169" i="9"/>
  <c r="M168" i="9"/>
  <c r="L168" i="9"/>
  <c r="D168" i="9"/>
  <c r="C168" i="9"/>
  <c r="M167" i="9"/>
  <c r="L167" i="9"/>
  <c r="D167" i="9"/>
  <c r="C167" i="9"/>
  <c r="M166" i="9"/>
  <c r="L166" i="9"/>
  <c r="D166" i="9"/>
  <c r="C166" i="9"/>
  <c r="M165" i="9"/>
  <c r="L165" i="9"/>
  <c r="D165" i="9"/>
  <c r="C165" i="9"/>
  <c r="M164" i="9"/>
  <c r="L164" i="9"/>
  <c r="D164" i="9"/>
  <c r="C164" i="9"/>
  <c r="M163" i="9"/>
  <c r="L163" i="9"/>
  <c r="D163" i="9"/>
  <c r="C163" i="9"/>
  <c r="M162" i="9"/>
  <c r="L162" i="9"/>
  <c r="D162" i="9"/>
  <c r="C162" i="9"/>
  <c r="M161" i="9"/>
  <c r="L161" i="9"/>
  <c r="D161" i="9"/>
  <c r="C161" i="9"/>
  <c r="M160" i="9"/>
  <c r="L160" i="9"/>
  <c r="D160" i="9"/>
  <c r="C160" i="9"/>
  <c r="M159" i="9"/>
  <c r="L159" i="9"/>
  <c r="D159" i="9"/>
  <c r="C159" i="9"/>
  <c r="M158" i="9"/>
  <c r="L158" i="9"/>
  <c r="D158" i="9"/>
  <c r="C158" i="9"/>
  <c r="M157" i="9"/>
  <c r="L157" i="9"/>
  <c r="D157" i="9"/>
  <c r="C157" i="9"/>
  <c r="M156" i="9"/>
  <c r="L156" i="9"/>
  <c r="D156" i="9"/>
  <c r="C156" i="9"/>
  <c r="M155" i="9"/>
  <c r="L155" i="9"/>
  <c r="D155" i="9"/>
  <c r="C155" i="9"/>
  <c r="M154" i="9"/>
  <c r="L154" i="9"/>
  <c r="D154" i="9"/>
  <c r="C154" i="9"/>
  <c r="M153" i="9"/>
  <c r="L153" i="9"/>
  <c r="D153" i="9"/>
  <c r="C153" i="9"/>
  <c r="M152" i="9"/>
  <c r="L152" i="9"/>
  <c r="D152" i="9"/>
  <c r="C152" i="9"/>
  <c r="M151" i="9"/>
  <c r="L151" i="9"/>
  <c r="D151" i="9"/>
  <c r="C151" i="9"/>
  <c r="M150" i="9"/>
  <c r="L150" i="9"/>
  <c r="D150" i="9"/>
  <c r="C150" i="9"/>
  <c r="M149" i="9"/>
  <c r="L149" i="9"/>
  <c r="D149" i="9"/>
  <c r="C149" i="9"/>
  <c r="M148" i="9"/>
  <c r="L148" i="9"/>
  <c r="D148" i="9"/>
  <c r="C148" i="9"/>
  <c r="M147" i="9"/>
  <c r="L147" i="9"/>
  <c r="D147" i="9"/>
  <c r="C147" i="9"/>
  <c r="M146" i="9"/>
  <c r="L146" i="9"/>
  <c r="D146" i="9"/>
  <c r="C146" i="9"/>
  <c r="M145" i="9"/>
  <c r="L145" i="9"/>
  <c r="D145" i="9"/>
  <c r="C145" i="9"/>
  <c r="M144" i="9"/>
  <c r="L144" i="9"/>
  <c r="D144" i="9"/>
  <c r="C144" i="9"/>
  <c r="M143" i="9"/>
  <c r="L143" i="9"/>
  <c r="D143" i="9"/>
  <c r="C143" i="9"/>
  <c r="M142" i="9"/>
  <c r="L142" i="9"/>
  <c r="D142" i="9"/>
  <c r="C142" i="9"/>
  <c r="M141" i="9"/>
  <c r="L141" i="9"/>
  <c r="D141" i="9"/>
  <c r="C141" i="9"/>
  <c r="M140" i="9"/>
  <c r="L140" i="9"/>
  <c r="D140" i="9"/>
  <c r="C140" i="9"/>
  <c r="M139" i="9"/>
  <c r="L139" i="9"/>
  <c r="D139" i="9"/>
  <c r="C139" i="9"/>
  <c r="M138" i="9"/>
  <c r="L138" i="9"/>
  <c r="D138" i="9"/>
  <c r="C138" i="9"/>
  <c r="M137" i="9"/>
  <c r="L137" i="9"/>
  <c r="D137" i="9"/>
  <c r="C137" i="9"/>
  <c r="M136" i="9"/>
  <c r="L136" i="9"/>
  <c r="D136" i="9"/>
  <c r="C136" i="9"/>
  <c r="M135" i="9"/>
  <c r="L135" i="9"/>
  <c r="D135" i="9"/>
  <c r="C135" i="9"/>
  <c r="M134" i="9"/>
  <c r="L134" i="9"/>
  <c r="D134" i="9"/>
  <c r="C134" i="9"/>
  <c r="M133" i="9"/>
  <c r="L133" i="9"/>
  <c r="D133" i="9"/>
  <c r="C133" i="9"/>
  <c r="M132" i="9"/>
  <c r="L132" i="9"/>
  <c r="D132" i="9"/>
  <c r="C132" i="9"/>
  <c r="M131" i="9"/>
  <c r="L131" i="9"/>
  <c r="D131" i="9"/>
  <c r="C131" i="9"/>
  <c r="M130" i="9"/>
  <c r="L130" i="9"/>
  <c r="D130" i="9"/>
  <c r="C130" i="9"/>
  <c r="M129" i="9"/>
  <c r="L129" i="9"/>
  <c r="D129" i="9"/>
  <c r="C129" i="9"/>
  <c r="M128" i="9"/>
  <c r="L128" i="9"/>
  <c r="D128" i="9"/>
  <c r="C128" i="9"/>
  <c r="M127" i="9"/>
  <c r="L127" i="9"/>
  <c r="D127" i="9"/>
  <c r="C127" i="9"/>
  <c r="M126" i="9"/>
  <c r="L126" i="9"/>
  <c r="D126" i="9"/>
  <c r="C126" i="9"/>
  <c r="M125" i="9"/>
  <c r="L125" i="9"/>
  <c r="D125" i="9"/>
  <c r="C125" i="9"/>
  <c r="M124" i="9"/>
  <c r="L124" i="9"/>
  <c r="D124" i="9"/>
  <c r="C124" i="9"/>
  <c r="M123" i="9"/>
  <c r="L123" i="9"/>
  <c r="D123" i="9"/>
  <c r="C123" i="9"/>
  <c r="M122" i="9"/>
  <c r="L122" i="9"/>
  <c r="D122" i="9"/>
  <c r="C122" i="9"/>
  <c r="M121" i="9"/>
  <c r="L121" i="9"/>
  <c r="D121" i="9"/>
  <c r="C121" i="9"/>
  <c r="M120" i="9"/>
  <c r="L120" i="9"/>
  <c r="D120" i="9"/>
  <c r="C120" i="9"/>
  <c r="M119" i="9"/>
  <c r="L119" i="9"/>
  <c r="D119" i="9"/>
  <c r="C119" i="9"/>
  <c r="M118" i="9"/>
  <c r="L118" i="9"/>
  <c r="D118" i="9"/>
  <c r="C118" i="9"/>
  <c r="M117" i="9"/>
  <c r="L117" i="9"/>
  <c r="D117" i="9"/>
  <c r="C117" i="9"/>
  <c r="M116" i="9"/>
  <c r="L116" i="9"/>
  <c r="D116" i="9"/>
  <c r="C116" i="9"/>
  <c r="M115" i="9"/>
  <c r="L115" i="9"/>
  <c r="D115" i="9"/>
  <c r="C115" i="9"/>
  <c r="M114" i="9"/>
  <c r="L114" i="9"/>
  <c r="D114" i="9"/>
  <c r="C114" i="9"/>
  <c r="M113" i="9"/>
  <c r="L113" i="9"/>
  <c r="D113" i="9"/>
  <c r="C113" i="9"/>
  <c r="M112" i="9"/>
  <c r="L112" i="9"/>
  <c r="D112" i="9"/>
  <c r="C112" i="9"/>
  <c r="M111" i="9"/>
  <c r="L111" i="9"/>
  <c r="D111" i="9"/>
  <c r="C111" i="9"/>
  <c r="M110" i="9"/>
  <c r="L110" i="9"/>
  <c r="D110" i="9"/>
  <c r="C110" i="9"/>
  <c r="M109" i="9"/>
  <c r="L109" i="9"/>
  <c r="D109" i="9"/>
  <c r="C109" i="9"/>
  <c r="M108" i="9"/>
  <c r="L108" i="9"/>
  <c r="D108" i="9"/>
  <c r="C108" i="9"/>
  <c r="M107" i="9"/>
  <c r="L107" i="9"/>
  <c r="D107" i="9"/>
  <c r="C107" i="9"/>
  <c r="M106" i="9"/>
  <c r="L106" i="9"/>
  <c r="D106" i="9"/>
  <c r="C106" i="9"/>
  <c r="M105" i="9"/>
  <c r="L105" i="9"/>
  <c r="D105" i="9"/>
  <c r="C105" i="9"/>
  <c r="M104" i="9"/>
  <c r="L104" i="9"/>
  <c r="D104" i="9"/>
  <c r="C104" i="9"/>
  <c r="M103" i="9"/>
  <c r="L103" i="9"/>
  <c r="D103" i="9"/>
  <c r="C103" i="9"/>
  <c r="M102" i="9"/>
  <c r="L102" i="9"/>
  <c r="D102" i="9"/>
  <c r="C102" i="9"/>
  <c r="M101" i="9"/>
  <c r="L101" i="9"/>
  <c r="D101" i="9"/>
  <c r="C101" i="9"/>
  <c r="M100" i="9"/>
  <c r="L100" i="9"/>
  <c r="D100" i="9"/>
  <c r="C100" i="9"/>
  <c r="M99" i="9"/>
  <c r="L99" i="9"/>
  <c r="D99" i="9"/>
  <c r="C99" i="9"/>
  <c r="M98" i="9"/>
  <c r="L98" i="9"/>
  <c r="D98" i="9"/>
  <c r="C98" i="9"/>
  <c r="M97" i="9"/>
  <c r="L97" i="9"/>
  <c r="D97" i="9"/>
  <c r="C97" i="9"/>
  <c r="M96" i="9"/>
  <c r="L96" i="9"/>
  <c r="D96" i="9"/>
  <c r="C96" i="9"/>
  <c r="M95" i="9"/>
  <c r="L95" i="9"/>
  <c r="D95" i="9"/>
  <c r="C95" i="9"/>
  <c r="M94" i="9"/>
  <c r="L94" i="9"/>
  <c r="D94" i="9"/>
  <c r="C94" i="9"/>
  <c r="M93" i="9"/>
  <c r="L93" i="9"/>
  <c r="D93" i="9"/>
  <c r="C93" i="9"/>
  <c r="M92" i="9"/>
  <c r="L92" i="9"/>
  <c r="D92" i="9"/>
  <c r="C92" i="9"/>
  <c r="M91" i="9"/>
  <c r="L91" i="9"/>
  <c r="D91" i="9"/>
  <c r="C91" i="9"/>
  <c r="M90" i="9"/>
  <c r="L90" i="9"/>
  <c r="D90" i="9"/>
  <c r="C90" i="9"/>
  <c r="M89" i="9"/>
  <c r="L89" i="9"/>
  <c r="D89" i="9"/>
  <c r="C89" i="9"/>
  <c r="M88" i="9"/>
  <c r="L88" i="9"/>
  <c r="D88" i="9"/>
  <c r="C88" i="9"/>
  <c r="M87" i="9"/>
  <c r="L87" i="9"/>
  <c r="D87" i="9"/>
  <c r="C87" i="9"/>
  <c r="M86" i="9"/>
  <c r="L86" i="9"/>
  <c r="D86" i="9"/>
  <c r="C86" i="9"/>
  <c r="M85" i="9"/>
  <c r="L85" i="9"/>
  <c r="D85" i="9"/>
  <c r="C85" i="9"/>
  <c r="M84" i="9"/>
  <c r="L84" i="9"/>
  <c r="D84" i="9"/>
  <c r="C84" i="9"/>
  <c r="M83" i="9"/>
  <c r="L83" i="9"/>
  <c r="D83" i="9"/>
  <c r="C83" i="9"/>
  <c r="M82" i="9"/>
  <c r="L82" i="9"/>
  <c r="D82" i="9"/>
  <c r="C82" i="9"/>
  <c r="M81" i="9"/>
  <c r="L81" i="9"/>
  <c r="D81" i="9"/>
  <c r="C81" i="9"/>
  <c r="M80" i="9"/>
  <c r="L80" i="9"/>
  <c r="D80" i="9"/>
  <c r="C80" i="9"/>
  <c r="M79" i="9"/>
  <c r="L79" i="9"/>
  <c r="D79" i="9"/>
  <c r="C79" i="9"/>
  <c r="M78" i="9"/>
  <c r="L78" i="9"/>
  <c r="D78" i="9"/>
  <c r="C78" i="9"/>
  <c r="M77" i="9"/>
  <c r="L77" i="9"/>
  <c r="D77" i="9"/>
  <c r="C77" i="9"/>
  <c r="M76" i="9"/>
  <c r="L76" i="9"/>
  <c r="D76" i="9"/>
  <c r="C76" i="9"/>
  <c r="M75" i="9"/>
  <c r="L75" i="9"/>
  <c r="D75" i="9"/>
  <c r="C75" i="9"/>
  <c r="M74" i="9"/>
  <c r="L74" i="9"/>
  <c r="D74" i="9"/>
  <c r="C74" i="9"/>
  <c r="M73" i="9"/>
  <c r="L73" i="9"/>
  <c r="D73" i="9"/>
  <c r="C73" i="9"/>
  <c r="M72" i="9"/>
  <c r="L72" i="9"/>
  <c r="D72" i="9"/>
  <c r="C72" i="9"/>
  <c r="M71" i="9"/>
  <c r="L71" i="9"/>
  <c r="D71" i="9"/>
  <c r="C71" i="9"/>
  <c r="M70" i="9"/>
  <c r="L70" i="9"/>
  <c r="D70" i="9"/>
  <c r="C70" i="9"/>
  <c r="M69" i="9"/>
  <c r="L69" i="9"/>
  <c r="D69" i="9"/>
  <c r="C69" i="9"/>
  <c r="M68" i="9"/>
  <c r="L68" i="9"/>
  <c r="D68" i="9"/>
  <c r="C68" i="9"/>
  <c r="M67" i="9"/>
  <c r="L67" i="9"/>
  <c r="D67" i="9"/>
  <c r="C67" i="9"/>
  <c r="M66" i="9"/>
  <c r="L66" i="9"/>
  <c r="D66" i="9"/>
  <c r="C66" i="9"/>
  <c r="M65" i="9"/>
  <c r="L65" i="9"/>
  <c r="D65" i="9"/>
  <c r="C65" i="9"/>
  <c r="M64" i="9"/>
  <c r="L64" i="9"/>
  <c r="D64" i="9"/>
  <c r="C64" i="9"/>
  <c r="M63" i="9"/>
  <c r="L63" i="9"/>
  <c r="D63" i="9"/>
  <c r="C63" i="9"/>
  <c r="M62" i="9"/>
  <c r="L62" i="9"/>
  <c r="D62" i="9"/>
  <c r="C62" i="9"/>
  <c r="M61" i="9"/>
  <c r="L61" i="9"/>
  <c r="D61" i="9"/>
  <c r="C61" i="9"/>
  <c r="M60" i="9"/>
  <c r="L60" i="9"/>
  <c r="D60" i="9"/>
  <c r="C60" i="9"/>
  <c r="M59" i="9"/>
  <c r="L59" i="9"/>
  <c r="D59" i="9"/>
  <c r="C59" i="9"/>
  <c r="M58" i="9"/>
  <c r="L58" i="9"/>
  <c r="D58" i="9"/>
  <c r="C58" i="9"/>
  <c r="M57" i="9"/>
  <c r="L57" i="9"/>
  <c r="D57" i="9"/>
  <c r="C57" i="9"/>
  <c r="M56" i="9"/>
  <c r="L56" i="9"/>
  <c r="D56" i="9"/>
  <c r="C56" i="9"/>
  <c r="M55" i="9"/>
  <c r="L55" i="9"/>
  <c r="D55" i="9"/>
  <c r="C55" i="9"/>
  <c r="M54" i="9"/>
  <c r="L54" i="9"/>
  <c r="D54" i="9"/>
  <c r="C54" i="9"/>
  <c r="M53" i="9"/>
  <c r="L53" i="9"/>
  <c r="D53" i="9"/>
  <c r="C53" i="9"/>
  <c r="M52" i="9"/>
  <c r="L52" i="9"/>
  <c r="D52" i="9"/>
  <c r="C52" i="9"/>
  <c r="M51" i="9"/>
  <c r="L51" i="9"/>
  <c r="D51" i="9"/>
  <c r="C51" i="9"/>
  <c r="M50" i="9"/>
  <c r="L50" i="9"/>
  <c r="D50" i="9"/>
  <c r="C50" i="9"/>
  <c r="M49" i="9"/>
  <c r="L49" i="9"/>
  <c r="D49" i="9"/>
  <c r="C49" i="9"/>
  <c r="M48" i="9"/>
  <c r="L48" i="9"/>
  <c r="D48" i="9"/>
  <c r="C48" i="9"/>
  <c r="M47" i="9"/>
  <c r="L47" i="9"/>
  <c r="D47" i="9"/>
  <c r="C47" i="9"/>
  <c r="M46" i="9"/>
  <c r="L46" i="9"/>
  <c r="D46" i="9"/>
  <c r="C46" i="9"/>
  <c r="M45" i="9"/>
  <c r="L45" i="9"/>
  <c r="D45" i="9"/>
  <c r="C45" i="9"/>
  <c r="M44" i="9"/>
  <c r="L44" i="9"/>
  <c r="D44" i="9"/>
  <c r="C44" i="9"/>
  <c r="M43" i="9"/>
  <c r="L43" i="9"/>
  <c r="D43" i="9"/>
  <c r="C43" i="9"/>
  <c r="M42" i="9"/>
  <c r="L42" i="9"/>
  <c r="D42" i="9"/>
  <c r="C42" i="9"/>
  <c r="M41" i="9"/>
  <c r="L41" i="9"/>
  <c r="D41" i="9"/>
  <c r="C41" i="9"/>
  <c r="M40" i="9"/>
  <c r="L40" i="9"/>
  <c r="D40" i="9"/>
  <c r="C40" i="9"/>
  <c r="M39" i="9"/>
  <c r="L39" i="9"/>
  <c r="D39" i="9"/>
  <c r="C39" i="9"/>
  <c r="M38" i="9"/>
  <c r="L38" i="9"/>
  <c r="D38" i="9"/>
  <c r="C38" i="9"/>
  <c r="M37" i="9"/>
  <c r="L37" i="9"/>
  <c r="D37" i="9"/>
  <c r="C37" i="9"/>
  <c r="M36" i="9"/>
  <c r="L36" i="9"/>
  <c r="D36" i="9"/>
  <c r="C36" i="9"/>
  <c r="M35" i="9"/>
  <c r="L35" i="9"/>
  <c r="D35" i="9"/>
  <c r="C35" i="9"/>
  <c r="M34" i="9"/>
  <c r="L34" i="9"/>
  <c r="D34" i="9"/>
  <c r="C34" i="9"/>
  <c r="M33" i="9"/>
  <c r="L33" i="9"/>
  <c r="D33" i="9"/>
  <c r="C33" i="9"/>
  <c r="M32" i="9"/>
  <c r="L32" i="9"/>
  <c r="D32" i="9"/>
  <c r="C32" i="9"/>
  <c r="M31" i="9"/>
  <c r="L31" i="9"/>
  <c r="D31" i="9"/>
  <c r="C31" i="9"/>
  <c r="M30" i="9"/>
  <c r="L30" i="9"/>
  <c r="D30" i="9"/>
  <c r="C30" i="9"/>
  <c r="M29" i="9"/>
  <c r="L29" i="9"/>
  <c r="D29" i="9"/>
  <c r="C29" i="9"/>
  <c r="M28" i="9"/>
  <c r="L28" i="9"/>
  <c r="D28" i="9"/>
  <c r="C28" i="9"/>
  <c r="M27" i="9"/>
  <c r="L27" i="9"/>
  <c r="D27" i="9"/>
  <c r="C27" i="9"/>
  <c r="M26" i="9"/>
  <c r="C96" i="3" s="1"/>
  <c r="L26" i="9"/>
  <c r="D26" i="9"/>
  <c r="C26" i="9"/>
  <c r="M25" i="9"/>
  <c r="L25" i="9"/>
  <c r="D25" i="9"/>
  <c r="C25" i="9"/>
  <c r="M24" i="9"/>
  <c r="L24" i="9"/>
  <c r="D24" i="9"/>
  <c r="C24" i="9"/>
  <c r="M23" i="9"/>
  <c r="L23" i="9"/>
  <c r="D23" i="9"/>
  <c r="C23" i="9"/>
  <c r="M22" i="9"/>
  <c r="L22" i="9"/>
  <c r="D22" i="9"/>
  <c r="C22" i="9"/>
  <c r="M21" i="9"/>
  <c r="L21" i="9"/>
  <c r="D21" i="9"/>
  <c r="C21" i="9"/>
  <c r="M20" i="9"/>
  <c r="L20" i="9"/>
  <c r="D20" i="9"/>
  <c r="C20" i="9"/>
  <c r="M19" i="9"/>
  <c r="L19" i="9"/>
  <c r="D19" i="9"/>
  <c r="C19" i="9"/>
  <c r="M18" i="9"/>
  <c r="L18" i="9"/>
  <c r="D18" i="9"/>
  <c r="C18" i="9"/>
  <c r="M17" i="9"/>
  <c r="L17" i="9"/>
  <c r="D17" i="9"/>
  <c r="C17" i="9"/>
  <c r="M16" i="9"/>
  <c r="L16" i="9"/>
  <c r="D16" i="9"/>
  <c r="C16" i="9"/>
  <c r="M15" i="9"/>
  <c r="L15" i="9"/>
  <c r="D15" i="9"/>
  <c r="C15" i="9"/>
  <c r="M14" i="9"/>
  <c r="L14" i="9"/>
  <c r="D14" i="9"/>
  <c r="C14" i="9"/>
  <c r="M13" i="9"/>
  <c r="L13" i="9"/>
  <c r="D13" i="9"/>
  <c r="C13" i="9"/>
  <c r="M12" i="9"/>
  <c r="L12" i="9"/>
  <c r="D12" i="9"/>
  <c r="C12" i="9"/>
  <c r="M11" i="9"/>
  <c r="L11" i="9"/>
  <c r="D11" i="9"/>
  <c r="C11" i="9"/>
  <c r="M10" i="9"/>
  <c r="L10" i="9"/>
  <c r="D10" i="9"/>
  <c r="C10" i="9"/>
  <c r="M9" i="9"/>
  <c r="L9" i="9"/>
  <c r="D9" i="9"/>
  <c r="C9" i="9"/>
  <c r="M8" i="9"/>
  <c r="L8" i="9"/>
  <c r="D8" i="9"/>
  <c r="C8" i="9"/>
  <c r="M7" i="9"/>
  <c r="L7" i="9"/>
  <c r="D7" i="9"/>
  <c r="C7" i="9"/>
  <c r="M6" i="9"/>
  <c r="L6" i="9"/>
  <c r="D6" i="9"/>
  <c r="C6" i="9"/>
  <c r="M5" i="9"/>
  <c r="L5" i="9"/>
  <c r="D5" i="9"/>
  <c r="C5" i="9"/>
  <c r="K205" i="8"/>
  <c r="H205" i="8"/>
  <c r="C205" i="8"/>
  <c r="K204" i="8"/>
  <c r="H204" i="8"/>
  <c r="C204" i="8"/>
  <c r="K203" i="8"/>
  <c r="H203" i="8"/>
  <c r="C203" i="8"/>
  <c r="K202" i="8"/>
  <c r="H202" i="8"/>
  <c r="C202" i="8"/>
  <c r="K201" i="8"/>
  <c r="H201" i="8"/>
  <c r="C201" i="8"/>
  <c r="K200" i="8"/>
  <c r="H200" i="8"/>
  <c r="C200" i="8"/>
  <c r="K199" i="8"/>
  <c r="H199" i="8"/>
  <c r="C199" i="8"/>
  <c r="K198" i="8"/>
  <c r="H198" i="8"/>
  <c r="C198" i="8"/>
  <c r="K197" i="8"/>
  <c r="H197" i="8"/>
  <c r="C197" i="8"/>
  <c r="K196" i="8"/>
  <c r="H196" i="8"/>
  <c r="C196" i="8"/>
  <c r="K195" i="8"/>
  <c r="H195" i="8"/>
  <c r="C195" i="8"/>
  <c r="K194" i="8"/>
  <c r="H194" i="8"/>
  <c r="C194" i="8"/>
  <c r="K193" i="8"/>
  <c r="H193" i="8"/>
  <c r="C193" i="8"/>
  <c r="K192" i="8"/>
  <c r="H192" i="8"/>
  <c r="C192" i="8"/>
  <c r="K191" i="8"/>
  <c r="H191" i="8"/>
  <c r="C191" i="8"/>
  <c r="K190" i="8"/>
  <c r="H190" i="8"/>
  <c r="C190" i="8"/>
  <c r="K189" i="8"/>
  <c r="H189" i="8"/>
  <c r="C189" i="8"/>
  <c r="K188" i="8"/>
  <c r="H188" i="8"/>
  <c r="C188" i="8"/>
  <c r="K187" i="8"/>
  <c r="H187" i="8"/>
  <c r="C187" i="8"/>
  <c r="K186" i="8"/>
  <c r="H186" i="8"/>
  <c r="C186" i="8"/>
  <c r="K185" i="8"/>
  <c r="H185" i="8"/>
  <c r="C185" i="8"/>
  <c r="K184" i="8"/>
  <c r="H184" i="8"/>
  <c r="C184" i="8"/>
  <c r="K183" i="8"/>
  <c r="H183" i="8"/>
  <c r="C183" i="8"/>
  <c r="K182" i="8"/>
  <c r="H182" i="8"/>
  <c r="C182" i="8"/>
  <c r="K181" i="8"/>
  <c r="H181" i="8"/>
  <c r="C181" i="8"/>
  <c r="K180" i="8"/>
  <c r="H180" i="8"/>
  <c r="C180" i="8"/>
  <c r="K179" i="8"/>
  <c r="H179" i="8"/>
  <c r="C179" i="8"/>
  <c r="K178" i="8"/>
  <c r="H178" i="8"/>
  <c r="C178" i="8"/>
  <c r="K177" i="8"/>
  <c r="H177" i="8"/>
  <c r="C177" i="8"/>
  <c r="K176" i="8"/>
  <c r="H176" i="8"/>
  <c r="C176" i="8"/>
  <c r="K175" i="8"/>
  <c r="H175" i="8"/>
  <c r="C175" i="8"/>
  <c r="K174" i="8"/>
  <c r="H174" i="8"/>
  <c r="C174" i="8"/>
  <c r="K173" i="8"/>
  <c r="H173" i="8"/>
  <c r="C173" i="8"/>
  <c r="K172" i="8"/>
  <c r="H172" i="8"/>
  <c r="C172" i="8"/>
  <c r="K171" i="8"/>
  <c r="H171" i="8"/>
  <c r="C171" i="8"/>
  <c r="K170" i="8"/>
  <c r="H170" i="8"/>
  <c r="C170" i="8"/>
  <c r="K169" i="8"/>
  <c r="H169" i="8"/>
  <c r="C169" i="8"/>
  <c r="K168" i="8"/>
  <c r="H168" i="8"/>
  <c r="C168" i="8"/>
  <c r="K167" i="8"/>
  <c r="H167" i="8"/>
  <c r="C167" i="8"/>
  <c r="K166" i="8"/>
  <c r="H166" i="8"/>
  <c r="C166" i="8"/>
  <c r="K165" i="8"/>
  <c r="H165" i="8"/>
  <c r="C165" i="8"/>
  <c r="K164" i="8"/>
  <c r="H164" i="8"/>
  <c r="C164" i="8"/>
  <c r="K163" i="8"/>
  <c r="H163" i="8"/>
  <c r="C163" i="8"/>
  <c r="K162" i="8"/>
  <c r="H162" i="8"/>
  <c r="C162" i="8"/>
  <c r="K161" i="8"/>
  <c r="H161" i="8"/>
  <c r="C161" i="8"/>
  <c r="K160" i="8"/>
  <c r="H160" i="8"/>
  <c r="C160" i="8"/>
  <c r="K159" i="8"/>
  <c r="H159" i="8"/>
  <c r="C159" i="8"/>
  <c r="K158" i="8"/>
  <c r="H158" i="8"/>
  <c r="C158" i="8"/>
  <c r="K157" i="8"/>
  <c r="H157" i="8"/>
  <c r="C157" i="8"/>
  <c r="K156" i="8"/>
  <c r="H156" i="8"/>
  <c r="C156" i="8"/>
  <c r="K155" i="8"/>
  <c r="H155" i="8"/>
  <c r="C155" i="8"/>
  <c r="K154" i="8"/>
  <c r="H154" i="8"/>
  <c r="C154" i="8"/>
  <c r="K153" i="8"/>
  <c r="H153" i="8"/>
  <c r="C153" i="8"/>
  <c r="K152" i="8"/>
  <c r="H152" i="8"/>
  <c r="C152" i="8"/>
  <c r="K151" i="8"/>
  <c r="H151" i="8"/>
  <c r="C151" i="8"/>
  <c r="K150" i="8"/>
  <c r="H150" i="8"/>
  <c r="C150" i="8"/>
  <c r="K149" i="8"/>
  <c r="H149" i="8"/>
  <c r="C149" i="8"/>
  <c r="K148" i="8"/>
  <c r="H148" i="8"/>
  <c r="C148" i="8"/>
  <c r="K147" i="8"/>
  <c r="H147" i="8"/>
  <c r="C147" i="8"/>
  <c r="K146" i="8"/>
  <c r="H146" i="8"/>
  <c r="C146" i="8"/>
  <c r="K145" i="8"/>
  <c r="H145" i="8"/>
  <c r="C145" i="8"/>
  <c r="K144" i="8"/>
  <c r="H144" i="8"/>
  <c r="C144" i="8"/>
  <c r="K143" i="8"/>
  <c r="H143" i="8"/>
  <c r="C143" i="8"/>
  <c r="K142" i="8"/>
  <c r="H142" i="8"/>
  <c r="C142" i="8"/>
  <c r="K141" i="8"/>
  <c r="H141" i="8"/>
  <c r="C141" i="8"/>
  <c r="K140" i="8"/>
  <c r="H140" i="8"/>
  <c r="C140" i="8"/>
  <c r="K139" i="8"/>
  <c r="H139" i="8"/>
  <c r="C139" i="8"/>
  <c r="K138" i="8"/>
  <c r="H138" i="8"/>
  <c r="C138" i="8"/>
  <c r="K137" i="8"/>
  <c r="H137" i="8"/>
  <c r="C137" i="8"/>
  <c r="K136" i="8"/>
  <c r="H136" i="8"/>
  <c r="C136" i="8"/>
  <c r="K135" i="8"/>
  <c r="H135" i="8"/>
  <c r="C135" i="8"/>
  <c r="K134" i="8"/>
  <c r="H134" i="8"/>
  <c r="C134" i="8"/>
  <c r="K133" i="8"/>
  <c r="H133" i="8"/>
  <c r="C133" i="8"/>
  <c r="K132" i="8"/>
  <c r="H132" i="8"/>
  <c r="C132" i="8"/>
  <c r="K131" i="8"/>
  <c r="H131" i="8"/>
  <c r="C131" i="8"/>
  <c r="K130" i="8"/>
  <c r="H130" i="8"/>
  <c r="C130" i="8"/>
  <c r="K129" i="8"/>
  <c r="H129" i="8"/>
  <c r="C129" i="8"/>
  <c r="K128" i="8"/>
  <c r="H128" i="8"/>
  <c r="C128" i="8"/>
  <c r="K127" i="8"/>
  <c r="H127" i="8"/>
  <c r="C127" i="8"/>
  <c r="K126" i="8"/>
  <c r="H126" i="8"/>
  <c r="C126" i="8"/>
  <c r="K125" i="8"/>
  <c r="H125" i="8"/>
  <c r="C125" i="8"/>
  <c r="K124" i="8"/>
  <c r="H124" i="8"/>
  <c r="C124" i="8"/>
  <c r="K123" i="8"/>
  <c r="H123" i="8"/>
  <c r="C123" i="8"/>
  <c r="K122" i="8"/>
  <c r="H122" i="8"/>
  <c r="C122" i="8"/>
  <c r="K121" i="8"/>
  <c r="H121" i="8"/>
  <c r="C121" i="8"/>
  <c r="K120" i="8"/>
  <c r="H120" i="8"/>
  <c r="C120" i="8"/>
  <c r="K119" i="8"/>
  <c r="H119" i="8"/>
  <c r="C119" i="8"/>
  <c r="K118" i="8"/>
  <c r="H118" i="8"/>
  <c r="C118" i="8"/>
  <c r="K117" i="8"/>
  <c r="H117" i="8"/>
  <c r="C117" i="8"/>
  <c r="K116" i="8"/>
  <c r="H116" i="8"/>
  <c r="C116" i="8"/>
  <c r="K115" i="8"/>
  <c r="H115" i="8"/>
  <c r="C115" i="8"/>
  <c r="K114" i="8"/>
  <c r="H114" i="8"/>
  <c r="C114" i="8"/>
  <c r="K113" i="8"/>
  <c r="H113" i="8"/>
  <c r="C113" i="8"/>
  <c r="K112" i="8"/>
  <c r="H112" i="8"/>
  <c r="C112" i="8"/>
  <c r="K111" i="8"/>
  <c r="H111" i="8"/>
  <c r="C111" i="8"/>
  <c r="K110" i="8"/>
  <c r="H110" i="8"/>
  <c r="C110" i="8"/>
  <c r="K109" i="8"/>
  <c r="H109" i="8"/>
  <c r="C109" i="8"/>
  <c r="K108" i="8"/>
  <c r="H108" i="8"/>
  <c r="C108" i="8"/>
  <c r="K107" i="8"/>
  <c r="H107" i="8"/>
  <c r="C107" i="8"/>
  <c r="K106" i="8"/>
  <c r="H106" i="8"/>
  <c r="C106" i="8"/>
  <c r="K105" i="8"/>
  <c r="H105" i="8"/>
  <c r="C105" i="8"/>
  <c r="K104" i="8"/>
  <c r="H104" i="8"/>
  <c r="C104" i="8"/>
  <c r="K103" i="8"/>
  <c r="H103" i="8"/>
  <c r="C103" i="8"/>
  <c r="K102" i="8"/>
  <c r="H102" i="8"/>
  <c r="C102" i="8"/>
  <c r="K101" i="8"/>
  <c r="H101" i="8"/>
  <c r="C101" i="8"/>
  <c r="K100" i="8"/>
  <c r="H100" i="8"/>
  <c r="C100" i="8"/>
  <c r="K99" i="8"/>
  <c r="H99" i="8"/>
  <c r="C99" i="8"/>
  <c r="K98" i="8"/>
  <c r="H98" i="8"/>
  <c r="C98" i="8"/>
  <c r="K97" i="8"/>
  <c r="H97" i="8"/>
  <c r="C97" i="8"/>
  <c r="K96" i="8"/>
  <c r="H96" i="8"/>
  <c r="C96" i="8"/>
  <c r="K95" i="8"/>
  <c r="H95" i="8"/>
  <c r="C95" i="8"/>
  <c r="K94" i="8"/>
  <c r="H94" i="8"/>
  <c r="C94" i="8"/>
  <c r="K93" i="8"/>
  <c r="H93" i="8"/>
  <c r="C93" i="8"/>
  <c r="K92" i="8"/>
  <c r="H92" i="8"/>
  <c r="C92" i="8"/>
  <c r="K91" i="8"/>
  <c r="H91" i="8"/>
  <c r="C91" i="8"/>
  <c r="K90" i="8"/>
  <c r="H90" i="8"/>
  <c r="C90" i="8"/>
  <c r="K89" i="8"/>
  <c r="H89" i="8"/>
  <c r="C89" i="8"/>
  <c r="K88" i="8"/>
  <c r="H88" i="8"/>
  <c r="C88" i="8"/>
  <c r="K87" i="8"/>
  <c r="H87" i="8"/>
  <c r="C87" i="8"/>
  <c r="K86" i="8"/>
  <c r="H86" i="8"/>
  <c r="C86" i="8"/>
  <c r="K85" i="8"/>
  <c r="H85" i="8"/>
  <c r="C85" i="8"/>
  <c r="K84" i="8"/>
  <c r="H84" i="8"/>
  <c r="C84" i="8"/>
  <c r="K83" i="8"/>
  <c r="H83" i="8"/>
  <c r="C83" i="8"/>
  <c r="K82" i="8"/>
  <c r="H82" i="8"/>
  <c r="C82" i="8"/>
  <c r="K81" i="8"/>
  <c r="H81" i="8"/>
  <c r="C81" i="8"/>
  <c r="K80" i="8"/>
  <c r="H80" i="8"/>
  <c r="C80" i="8"/>
  <c r="K79" i="8"/>
  <c r="H79" i="8"/>
  <c r="C79" i="8"/>
  <c r="K78" i="8"/>
  <c r="H78" i="8"/>
  <c r="C78" i="8"/>
  <c r="K77" i="8"/>
  <c r="H77" i="8"/>
  <c r="C77" i="8"/>
  <c r="K76" i="8"/>
  <c r="H76" i="8"/>
  <c r="C76" i="8"/>
  <c r="K75" i="8"/>
  <c r="H75" i="8"/>
  <c r="C75" i="8"/>
  <c r="K74" i="8"/>
  <c r="H74" i="8"/>
  <c r="C74" i="8"/>
  <c r="K73" i="8"/>
  <c r="H73" i="8"/>
  <c r="C73" i="8"/>
  <c r="K72" i="8"/>
  <c r="H72" i="8"/>
  <c r="C72" i="8"/>
  <c r="K71" i="8"/>
  <c r="H71" i="8"/>
  <c r="C71" i="8"/>
  <c r="K70" i="8"/>
  <c r="H70" i="8"/>
  <c r="C70" i="8"/>
  <c r="K69" i="8"/>
  <c r="H69" i="8"/>
  <c r="C69" i="8"/>
  <c r="K68" i="8"/>
  <c r="H68" i="8"/>
  <c r="C68" i="8"/>
  <c r="K67" i="8"/>
  <c r="H67" i="8"/>
  <c r="C67" i="8"/>
  <c r="K66" i="8"/>
  <c r="H66" i="8"/>
  <c r="C66" i="8"/>
  <c r="K65" i="8"/>
  <c r="H65" i="8"/>
  <c r="C65" i="8"/>
  <c r="K64" i="8"/>
  <c r="H64" i="8"/>
  <c r="C64" i="8"/>
  <c r="K63" i="8"/>
  <c r="H63" i="8"/>
  <c r="C63" i="8"/>
  <c r="K62" i="8"/>
  <c r="H62" i="8"/>
  <c r="C62" i="8"/>
  <c r="K61" i="8"/>
  <c r="H61" i="8"/>
  <c r="C61" i="8"/>
  <c r="K60" i="8"/>
  <c r="H60" i="8"/>
  <c r="C60" i="8"/>
  <c r="K59" i="8"/>
  <c r="H59" i="8"/>
  <c r="C59" i="8"/>
  <c r="K58" i="8"/>
  <c r="H58" i="8"/>
  <c r="C58" i="8"/>
  <c r="K57" i="8"/>
  <c r="H57" i="8"/>
  <c r="C57" i="8"/>
  <c r="K56" i="8"/>
  <c r="H56" i="8"/>
  <c r="C56" i="8"/>
  <c r="K55" i="8"/>
  <c r="H55" i="8"/>
  <c r="C55" i="8"/>
  <c r="K54" i="8"/>
  <c r="H54" i="8"/>
  <c r="C54" i="8"/>
  <c r="K53" i="8"/>
  <c r="H53" i="8"/>
  <c r="C53" i="8"/>
  <c r="K52" i="8"/>
  <c r="H52" i="8"/>
  <c r="C52" i="8"/>
  <c r="K51" i="8"/>
  <c r="H51" i="8"/>
  <c r="C51" i="8"/>
  <c r="K50" i="8"/>
  <c r="H50" i="8"/>
  <c r="C50" i="8"/>
  <c r="K49" i="8"/>
  <c r="H49" i="8"/>
  <c r="C49" i="8"/>
  <c r="K48" i="8"/>
  <c r="H48" i="8"/>
  <c r="C48" i="8"/>
  <c r="K47" i="8"/>
  <c r="H47" i="8"/>
  <c r="C47" i="8"/>
  <c r="K46" i="8"/>
  <c r="H46" i="8"/>
  <c r="C46" i="8"/>
  <c r="K45" i="8"/>
  <c r="H45" i="8"/>
  <c r="C45" i="8"/>
  <c r="K44" i="8"/>
  <c r="H44" i="8"/>
  <c r="C44" i="8"/>
  <c r="K43" i="8"/>
  <c r="H43" i="8"/>
  <c r="C43" i="8"/>
  <c r="K42" i="8"/>
  <c r="H42" i="8"/>
  <c r="C42" i="8"/>
  <c r="K41" i="8"/>
  <c r="H41" i="8"/>
  <c r="C41" i="8"/>
  <c r="K40" i="8"/>
  <c r="H40" i="8"/>
  <c r="C40" i="8"/>
  <c r="K39" i="8"/>
  <c r="H39" i="8"/>
  <c r="C39" i="8"/>
  <c r="K38" i="8"/>
  <c r="H38" i="8"/>
  <c r="C38" i="8"/>
  <c r="K37" i="8"/>
  <c r="H37" i="8"/>
  <c r="C37" i="8"/>
  <c r="K36" i="8"/>
  <c r="H36" i="8"/>
  <c r="C36" i="8"/>
  <c r="K35" i="8"/>
  <c r="H35" i="8"/>
  <c r="C35" i="8"/>
  <c r="K34" i="8"/>
  <c r="L34" i="8" s="1"/>
  <c r="M34" i="8" s="1"/>
  <c r="I34" i="8"/>
  <c r="H34" i="8"/>
  <c r="C34" i="8"/>
  <c r="K33" i="8"/>
  <c r="H33" i="8"/>
  <c r="C33" i="8"/>
  <c r="K32" i="8"/>
  <c r="H32" i="8"/>
  <c r="C32" i="8"/>
  <c r="K31" i="8"/>
  <c r="H31" i="8"/>
  <c r="C31" i="8"/>
  <c r="K30" i="8"/>
  <c r="H30" i="8"/>
  <c r="C30" i="8"/>
  <c r="K29" i="8"/>
  <c r="H29" i="8"/>
  <c r="C29" i="8"/>
  <c r="K28" i="8"/>
  <c r="H28" i="8"/>
  <c r="C28" i="8"/>
  <c r="K27" i="8"/>
  <c r="H27" i="8"/>
  <c r="C27" i="8"/>
  <c r="K26" i="8"/>
  <c r="H26" i="8"/>
  <c r="C26" i="8"/>
  <c r="K25" i="8"/>
  <c r="H25" i="8"/>
  <c r="C25" i="8"/>
  <c r="K24" i="8"/>
  <c r="H24" i="8"/>
  <c r="C24" i="8"/>
  <c r="K23" i="8"/>
  <c r="H23" i="8"/>
  <c r="C23" i="8"/>
  <c r="K22" i="8"/>
  <c r="H22" i="8"/>
  <c r="C22" i="8"/>
  <c r="K21" i="8"/>
  <c r="H21" i="8"/>
  <c r="C21" i="8"/>
  <c r="K20" i="8"/>
  <c r="H20" i="8"/>
  <c r="C20" i="8"/>
  <c r="K19" i="8"/>
  <c r="H19" i="8"/>
  <c r="C19" i="8"/>
  <c r="K18" i="8"/>
  <c r="H18" i="8"/>
  <c r="C18" i="8"/>
  <c r="K17" i="8"/>
  <c r="H17" i="8"/>
  <c r="C17" i="8"/>
  <c r="K16" i="8"/>
  <c r="H16" i="8"/>
  <c r="C16" i="8"/>
  <c r="K15" i="8"/>
  <c r="H15" i="8"/>
  <c r="C15" i="8"/>
  <c r="K14" i="8"/>
  <c r="H14" i="8"/>
  <c r="C14" i="8"/>
  <c r="K13" i="8"/>
  <c r="H13" i="8"/>
  <c r="C13" i="8"/>
  <c r="K12" i="8"/>
  <c r="H12" i="8"/>
  <c r="C12" i="8"/>
  <c r="K11" i="8"/>
  <c r="H11" i="8"/>
  <c r="C11" i="8"/>
  <c r="K10" i="8"/>
  <c r="H10" i="8"/>
  <c r="C10" i="8"/>
  <c r="K9" i="8"/>
  <c r="H9" i="8"/>
  <c r="C9" i="8"/>
  <c r="K8" i="8"/>
  <c r="H8" i="8"/>
  <c r="C8" i="8"/>
  <c r="K7" i="8"/>
  <c r="H7" i="8"/>
  <c r="C7" i="8"/>
  <c r="K6" i="8"/>
  <c r="H6" i="8"/>
  <c r="C6" i="8"/>
  <c r="K5" i="8"/>
  <c r="H5" i="8"/>
  <c r="C5" i="8"/>
  <c r="N205" i="7"/>
  <c r="M205" i="7"/>
  <c r="D205" i="7"/>
  <c r="C205" i="7"/>
  <c r="N204" i="7"/>
  <c r="M204" i="7"/>
  <c r="D204" i="7"/>
  <c r="C204" i="7"/>
  <c r="N203" i="7"/>
  <c r="M203" i="7"/>
  <c r="D203" i="7"/>
  <c r="C203" i="7"/>
  <c r="N202" i="7"/>
  <c r="M202" i="7"/>
  <c r="D202" i="7"/>
  <c r="C202" i="7"/>
  <c r="N201" i="7"/>
  <c r="M201" i="7"/>
  <c r="D201" i="7"/>
  <c r="C201" i="7"/>
  <c r="N200" i="7"/>
  <c r="M200" i="7"/>
  <c r="D200" i="7"/>
  <c r="C200" i="7"/>
  <c r="N199" i="7"/>
  <c r="M199" i="7"/>
  <c r="D199" i="7"/>
  <c r="C199" i="7"/>
  <c r="N198" i="7"/>
  <c r="M198" i="7"/>
  <c r="D198" i="7"/>
  <c r="C198" i="7"/>
  <c r="N197" i="7"/>
  <c r="M197" i="7"/>
  <c r="D197" i="7"/>
  <c r="C197" i="7"/>
  <c r="N196" i="7"/>
  <c r="M196" i="7"/>
  <c r="D196" i="7"/>
  <c r="C196" i="7"/>
  <c r="N195" i="7"/>
  <c r="M195" i="7"/>
  <c r="D195" i="7"/>
  <c r="C195" i="7"/>
  <c r="N194" i="7"/>
  <c r="M194" i="7"/>
  <c r="D194" i="7"/>
  <c r="C194" i="7"/>
  <c r="N193" i="7"/>
  <c r="M193" i="7"/>
  <c r="D193" i="7"/>
  <c r="C193" i="7"/>
  <c r="N192" i="7"/>
  <c r="M192" i="7"/>
  <c r="D192" i="7"/>
  <c r="C192" i="7"/>
  <c r="N191" i="7"/>
  <c r="M191" i="7"/>
  <c r="D191" i="7"/>
  <c r="C191" i="7"/>
  <c r="N190" i="7"/>
  <c r="M190" i="7"/>
  <c r="D190" i="7"/>
  <c r="C190" i="7"/>
  <c r="N189" i="7"/>
  <c r="M189" i="7"/>
  <c r="D189" i="7"/>
  <c r="C189" i="7"/>
  <c r="N188" i="7"/>
  <c r="M188" i="7"/>
  <c r="D188" i="7"/>
  <c r="C188" i="7"/>
  <c r="N187" i="7"/>
  <c r="M187" i="7"/>
  <c r="D187" i="7"/>
  <c r="C187" i="7"/>
  <c r="N186" i="7"/>
  <c r="M186" i="7"/>
  <c r="D186" i="7"/>
  <c r="C186" i="7"/>
  <c r="N185" i="7"/>
  <c r="M185" i="7"/>
  <c r="D185" i="7"/>
  <c r="C185" i="7"/>
  <c r="N184" i="7"/>
  <c r="M184" i="7"/>
  <c r="D184" i="7"/>
  <c r="C184" i="7"/>
  <c r="N183" i="7"/>
  <c r="M183" i="7"/>
  <c r="D183" i="7"/>
  <c r="C183" i="7"/>
  <c r="N182" i="7"/>
  <c r="M182" i="7"/>
  <c r="D182" i="7"/>
  <c r="C182" i="7"/>
  <c r="N181" i="7"/>
  <c r="M181" i="7"/>
  <c r="D181" i="7"/>
  <c r="C181" i="7"/>
  <c r="N180" i="7"/>
  <c r="M180" i="7"/>
  <c r="D180" i="7"/>
  <c r="C180" i="7"/>
  <c r="N179" i="7"/>
  <c r="M179" i="7"/>
  <c r="D179" i="7"/>
  <c r="C179" i="7"/>
  <c r="N178" i="7"/>
  <c r="M178" i="7"/>
  <c r="D178" i="7"/>
  <c r="C178" i="7"/>
  <c r="N177" i="7"/>
  <c r="M177" i="7"/>
  <c r="D177" i="7"/>
  <c r="C177" i="7"/>
  <c r="N176" i="7"/>
  <c r="M176" i="7"/>
  <c r="D176" i="7"/>
  <c r="C176" i="7"/>
  <c r="N175" i="7"/>
  <c r="M175" i="7"/>
  <c r="D175" i="7"/>
  <c r="C175" i="7"/>
  <c r="N174" i="7"/>
  <c r="M174" i="7"/>
  <c r="D174" i="7"/>
  <c r="C174" i="7"/>
  <c r="N173" i="7"/>
  <c r="M173" i="7"/>
  <c r="D173" i="7"/>
  <c r="C173" i="7"/>
  <c r="N172" i="7"/>
  <c r="M172" i="7"/>
  <c r="D172" i="7"/>
  <c r="C172" i="7"/>
  <c r="N171" i="7"/>
  <c r="M171" i="7"/>
  <c r="D171" i="7"/>
  <c r="C171" i="7"/>
  <c r="N170" i="7"/>
  <c r="M170" i="7"/>
  <c r="D170" i="7"/>
  <c r="C170" i="7"/>
  <c r="N169" i="7"/>
  <c r="M169" i="7"/>
  <c r="D169" i="7"/>
  <c r="C169" i="7"/>
  <c r="N168" i="7"/>
  <c r="M168" i="7"/>
  <c r="D168" i="7"/>
  <c r="C168" i="7"/>
  <c r="N167" i="7"/>
  <c r="M167" i="7"/>
  <c r="D167" i="7"/>
  <c r="C167" i="7"/>
  <c r="N166" i="7"/>
  <c r="M166" i="7"/>
  <c r="D166" i="7"/>
  <c r="C166" i="7"/>
  <c r="N165" i="7"/>
  <c r="M165" i="7"/>
  <c r="D165" i="7"/>
  <c r="C165" i="7"/>
  <c r="N164" i="7"/>
  <c r="M164" i="7"/>
  <c r="D164" i="7"/>
  <c r="C164" i="7"/>
  <c r="N163" i="7"/>
  <c r="M163" i="7"/>
  <c r="D163" i="7"/>
  <c r="C163" i="7"/>
  <c r="N162" i="7"/>
  <c r="M162" i="7"/>
  <c r="D162" i="7"/>
  <c r="C162" i="7"/>
  <c r="N161" i="7"/>
  <c r="M161" i="7"/>
  <c r="D161" i="7"/>
  <c r="C161" i="7"/>
  <c r="N160" i="7"/>
  <c r="M160" i="7"/>
  <c r="D160" i="7"/>
  <c r="C160" i="7"/>
  <c r="N159" i="7"/>
  <c r="M159" i="7"/>
  <c r="D159" i="7"/>
  <c r="C159" i="7"/>
  <c r="N158" i="7"/>
  <c r="M158" i="7"/>
  <c r="D158" i="7"/>
  <c r="C158" i="7"/>
  <c r="N157" i="7"/>
  <c r="M157" i="7"/>
  <c r="D157" i="7"/>
  <c r="C157" i="7"/>
  <c r="N156" i="7"/>
  <c r="M156" i="7"/>
  <c r="D156" i="7"/>
  <c r="C156" i="7"/>
  <c r="N155" i="7"/>
  <c r="M155" i="7"/>
  <c r="D155" i="7"/>
  <c r="C155" i="7"/>
  <c r="N154" i="7"/>
  <c r="M154" i="7"/>
  <c r="D154" i="7"/>
  <c r="C154" i="7"/>
  <c r="N153" i="7"/>
  <c r="M153" i="7"/>
  <c r="D153" i="7"/>
  <c r="C153" i="7"/>
  <c r="N152" i="7"/>
  <c r="M152" i="7"/>
  <c r="D152" i="7"/>
  <c r="C152" i="7"/>
  <c r="N151" i="7"/>
  <c r="M151" i="7"/>
  <c r="D151" i="7"/>
  <c r="C151" i="7"/>
  <c r="N150" i="7"/>
  <c r="M150" i="7"/>
  <c r="D150" i="7"/>
  <c r="C150" i="7"/>
  <c r="N149" i="7"/>
  <c r="M149" i="7"/>
  <c r="D149" i="7"/>
  <c r="C149" i="7"/>
  <c r="N148" i="7"/>
  <c r="M148" i="7"/>
  <c r="D148" i="7"/>
  <c r="C148" i="7"/>
  <c r="N147" i="7"/>
  <c r="M147" i="7"/>
  <c r="D147" i="7"/>
  <c r="C147" i="7"/>
  <c r="N146" i="7"/>
  <c r="M146" i="7"/>
  <c r="D146" i="7"/>
  <c r="C146" i="7"/>
  <c r="N145" i="7"/>
  <c r="M145" i="7"/>
  <c r="D145" i="7"/>
  <c r="C145" i="7"/>
  <c r="N144" i="7"/>
  <c r="M144" i="7"/>
  <c r="D144" i="7"/>
  <c r="C144" i="7"/>
  <c r="N143" i="7"/>
  <c r="M143" i="7"/>
  <c r="D143" i="7"/>
  <c r="C143" i="7"/>
  <c r="N142" i="7"/>
  <c r="M142" i="7"/>
  <c r="D142" i="7"/>
  <c r="C142" i="7"/>
  <c r="N141" i="7"/>
  <c r="M141" i="7"/>
  <c r="D141" i="7"/>
  <c r="C141" i="7"/>
  <c r="N140" i="7"/>
  <c r="M140" i="7"/>
  <c r="D140" i="7"/>
  <c r="C140" i="7"/>
  <c r="N139" i="7"/>
  <c r="M139" i="7"/>
  <c r="D139" i="7"/>
  <c r="C139" i="7"/>
  <c r="N138" i="7"/>
  <c r="M138" i="7"/>
  <c r="D138" i="7"/>
  <c r="C138" i="7"/>
  <c r="N137" i="7"/>
  <c r="M137" i="7"/>
  <c r="D137" i="7"/>
  <c r="C137" i="7"/>
  <c r="N136" i="7"/>
  <c r="M136" i="7"/>
  <c r="D136" i="7"/>
  <c r="C136" i="7"/>
  <c r="N135" i="7"/>
  <c r="M135" i="7"/>
  <c r="D135" i="7"/>
  <c r="C135" i="7"/>
  <c r="N134" i="7"/>
  <c r="M134" i="7"/>
  <c r="D134" i="7"/>
  <c r="C134" i="7"/>
  <c r="N133" i="7"/>
  <c r="M133" i="7"/>
  <c r="D133" i="7"/>
  <c r="C133" i="7"/>
  <c r="N132" i="7"/>
  <c r="M132" i="7"/>
  <c r="D132" i="7"/>
  <c r="C132" i="7"/>
  <c r="N131" i="7"/>
  <c r="M131" i="7"/>
  <c r="D131" i="7"/>
  <c r="C131" i="7"/>
  <c r="N130" i="7"/>
  <c r="M130" i="7"/>
  <c r="D130" i="7"/>
  <c r="C130" i="7"/>
  <c r="N129" i="7"/>
  <c r="M129" i="7"/>
  <c r="D129" i="7"/>
  <c r="C129" i="7"/>
  <c r="N128" i="7"/>
  <c r="M128" i="7"/>
  <c r="D128" i="7"/>
  <c r="C128" i="7"/>
  <c r="N127" i="7"/>
  <c r="M127" i="7"/>
  <c r="D127" i="7"/>
  <c r="C127" i="7"/>
  <c r="N126" i="7"/>
  <c r="M126" i="7"/>
  <c r="D126" i="7"/>
  <c r="C126" i="7"/>
  <c r="N125" i="7"/>
  <c r="M125" i="7"/>
  <c r="D125" i="7"/>
  <c r="C125" i="7"/>
  <c r="N124" i="7"/>
  <c r="M124" i="7"/>
  <c r="D124" i="7"/>
  <c r="C124" i="7"/>
  <c r="N123" i="7"/>
  <c r="M123" i="7"/>
  <c r="D123" i="7"/>
  <c r="C123" i="7"/>
  <c r="N122" i="7"/>
  <c r="M122" i="7"/>
  <c r="D122" i="7"/>
  <c r="C122" i="7"/>
  <c r="N121" i="7"/>
  <c r="M121" i="7"/>
  <c r="D121" i="7"/>
  <c r="C121" i="7"/>
  <c r="N120" i="7"/>
  <c r="M120" i="7"/>
  <c r="D120" i="7"/>
  <c r="C120" i="7"/>
  <c r="N119" i="7"/>
  <c r="M119" i="7"/>
  <c r="D119" i="7"/>
  <c r="C119" i="7"/>
  <c r="N118" i="7"/>
  <c r="M118" i="7"/>
  <c r="D118" i="7"/>
  <c r="C118" i="7"/>
  <c r="N117" i="7"/>
  <c r="M117" i="7"/>
  <c r="D117" i="7"/>
  <c r="C117" i="7"/>
  <c r="N116" i="7"/>
  <c r="M116" i="7"/>
  <c r="D116" i="7"/>
  <c r="C116" i="7"/>
  <c r="N115" i="7"/>
  <c r="M115" i="7"/>
  <c r="D115" i="7"/>
  <c r="C115" i="7"/>
  <c r="N114" i="7"/>
  <c r="M114" i="7"/>
  <c r="D114" i="7"/>
  <c r="C114" i="7"/>
  <c r="N113" i="7"/>
  <c r="M113" i="7"/>
  <c r="D113" i="7"/>
  <c r="C113" i="7"/>
  <c r="N112" i="7"/>
  <c r="M112" i="7"/>
  <c r="D112" i="7"/>
  <c r="C112" i="7"/>
  <c r="N111" i="7"/>
  <c r="M111" i="7"/>
  <c r="D111" i="7"/>
  <c r="C111" i="7"/>
  <c r="N110" i="7"/>
  <c r="M110" i="7"/>
  <c r="D110" i="7"/>
  <c r="C110" i="7"/>
  <c r="N109" i="7"/>
  <c r="M109" i="7"/>
  <c r="D109" i="7"/>
  <c r="C109" i="7"/>
  <c r="N108" i="7"/>
  <c r="M108" i="7"/>
  <c r="D108" i="7"/>
  <c r="C108" i="7"/>
  <c r="N107" i="7"/>
  <c r="M107" i="7"/>
  <c r="D107" i="7"/>
  <c r="C107" i="7"/>
  <c r="N106" i="7"/>
  <c r="M106" i="7"/>
  <c r="D106" i="7"/>
  <c r="C106" i="7"/>
  <c r="N105" i="7"/>
  <c r="M105" i="7"/>
  <c r="D105" i="7"/>
  <c r="C105" i="7"/>
  <c r="N104" i="7"/>
  <c r="M104" i="7"/>
  <c r="D104" i="7"/>
  <c r="C104" i="7"/>
  <c r="N103" i="7"/>
  <c r="M103" i="7"/>
  <c r="D103" i="7"/>
  <c r="C103" i="7"/>
  <c r="N102" i="7"/>
  <c r="M102" i="7"/>
  <c r="D102" i="7"/>
  <c r="C102" i="7"/>
  <c r="N101" i="7"/>
  <c r="M101" i="7"/>
  <c r="D101" i="7"/>
  <c r="C101" i="7"/>
  <c r="N100" i="7"/>
  <c r="M100" i="7"/>
  <c r="D100" i="7"/>
  <c r="C100" i="7"/>
  <c r="N99" i="7"/>
  <c r="M99" i="7"/>
  <c r="D99" i="7"/>
  <c r="C99" i="7"/>
  <c r="N98" i="7"/>
  <c r="M98" i="7"/>
  <c r="D98" i="7"/>
  <c r="C98" i="7"/>
  <c r="N97" i="7"/>
  <c r="M97" i="7"/>
  <c r="D97" i="7"/>
  <c r="C97" i="7"/>
  <c r="N96" i="7"/>
  <c r="M96" i="7"/>
  <c r="D96" i="7"/>
  <c r="C96" i="7"/>
  <c r="N95" i="7"/>
  <c r="M95" i="7"/>
  <c r="D95" i="7"/>
  <c r="C95" i="7"/>
  <c r="N94" i="7"/>
  <c r="M94" i="7"/>
  <c r="D94" i="7"/>
  <c r="C94" i="7"/>
  <c r="N93" i="7"/>
  <c r="M93" i="7"/>
  <c r="D93" i="7"/>
  <c r="C93" i="7"/>
  <c r="N92" i="7"/>
  <c r="M92" i="7"/>
  <c r="D92" i="7"/>
  <c r="C92" i="7"/>
  <c r="N91" i="7"/>
  <c r="M91" i="7"/>
  <c r="D91" i="7"/>
  <c r="C91" i="7"/>
  <c r="N90" i="7"/>
  <c r="M90" i="7"/>
  <c r="D90" i="7"/>
  <c r="C90" i="7"/>
  <c r="N89" i="7"/>
  <c r="M89" i="7"/>
  <c r="D89" i="7"/>
  <c r="C89" i="7"/>
  <c r="N88" i="7"/>
  <c r="M88" i="7"/>
  <c r="D88" i="7"/>
  <c r="C88" i="7"/>
  <c r="N87" i="7"/>
  <c r="M87" i="7"/>
  <c r="D87" i="7"/>
  <c r="C87" i="7"/>
  <c r="N86" i="7"/>
  <c r="M86" i="7"/>
  <c r="D86" i="7"/>
  <c r="C86" i="7"/>
  <c r="N85" i="7"/>
  <c r="M85" i="7"/>
  <c r="D85" i="7"/>
  <c r="C85" i="7"/>
  <c r="N84" i="7"/>
  <c r="M84" i="7"/>
  <c r="D84" i="7"/>
  <c r="C84" i="7"/>
  <c r="N83" i="7"/>
  <c r="M83" i="7"/>
  <c r="D83" i="7"/>
  <c r="C83" i="7"/>
  <c r="N82" i="7"/>
  <c r="M82" i="7"/>
  <c r="D82" i="7"/>
  <c r="C82" i="7"/>
  <c r="N81" i="7"/>
  <c r="M81" i="7"/>
  <c r="D81" i="7"/>
  <c r="C81" i="7"/>
  <c r="N80" i="7"/>
  <c r="M80" i="7"/>
  <c r="D80" i="7"/>
  <c r="C80" i="7"/>
  <c r="N79" i="7"/>
  <c r="M79" i="7"/>
  <c r="D79" i="7"/>
  <c r="C79" i="7"/>
  <c r="N78" i="7"/>
  <c r="M78" i="7"/>
  <c r="D78" i="7"/>
  <c r="C78" i="7"/>
  <c r="N77" i="7"/>
  <c r="M77" i="7"/>
  <c r="D77" i="7"/>
  <c r="C77" i="7"/>
  <c r="N76" i="7"/>
  <c r="M76" i="7"/>
  <c r="D76" i="7"/>
  <c r="C76" i="7"/>
  <c r="N75" i="7"/>
  <c r="M75" i="7"/>
  <c r="D75" i="7"/>
  <c r="C75" i="7"/>
  <c r="N74" i="7"/>
  <c r="M74" i="7"/>
  <c r="D74" i="7"/>
  <c r="C74" i="7"/>
  <c r="N73" i="7"/>
  <c r="M73" i="7"/>
  <c r="D73" i="7"/>
  <c r="C73" i="7"/>
  <c r="N72" i="7"/>
  <c r="M72" i="7"/>
  <c r="D72" i="7"/>
  <c r="C72" i="7"/>
  <c r="N71" i="7"/>
  <c r="M71" i="7"/>
  <c r="D71" i="7"/>
  <c r="C71" i="7"/>
  <c r="N70" i="7"/>
  <c r="M70" i="7"/>
  <c r="D70" i="7"/>
  <c r="C70" i="7"/>
  <c r="N69" i="7"/>
  <c r="M69" i="7"/>
  <c r="D69" i="7"/>
  <c r="C69" i="7"/>
  <c r="N68" i="7"/>
  <c r="M68" i="7"/>
  <c r="D68" i="7"/>
  <c r="C68" i="7"/>
  <c r="N67" i="7"/>
  <c r="M67" i="7"/>
  <c r="D67" i="7"/>
  <c r="C67" i="7"/>
  <c r="N66" i="7"/>
  <c r="M66" i="7"/>
  <c r="D66" i="7"/>
  <c r="C66" i="7"/>
  <c r="N65" i="7"/>
  <c r="M65" i="7"/>
  <c r="D65" i="7"/>
  <c r="C65" i="7"/>
  <c r="N64" i="7"/>
  <c r="M64" i="7"/>
  <c r="D64" i="7"/>
  <c r="C64" i="7"/>
  <c r="N63" i="7"/>
  <c r="M63" i="7"/>
  <c r="D63" i="7"/>
  <c r="C63" i="7"/>
  <c r="N62" i="7"/>
  <c r="M62" i="7"/>
  <c r="D62" i="7"/>
  <c r="C62" i="7"/>
  <c r="N61" i="7"/>
  <c r="M61" i="7"/>
  <c r="D61" i="7"/>
  <c r="C61" i="7"/>
  <c r="N60" i="7"/>
  <c r="M60" i="7"/>
  <c r="D60" i="7"/>
  <c r="C60" i="7"/>
  <c r="N59" i="7"/>
  <c r="M59" i="7"/>
  <c r="D59" i="7"/>
  <c r="C59" i="7"/>
  <c r="N58" i="7"/>
  <c r="M58" i="7"/>
  <c r="D58" i="7"/>
  <c r="C58" i="7"/>
  <c r="N57" i="7"/>
  <c r="M57" i="7"/>
  <c r="D57" i="7"/>
  <c r="C57" i="7"/>
  <c r="N56" i="7"/>
  <c r="M56" i="7"/>
  <c r="D56" i="7"/>
  <c r="C56" i="7"/>
  <c r="N55" i="7"/>
  <c r="M55" i="7"/>
  <c r="D55" i="7"/>
  <c r="C55" i="7"/>
  <c r="N54" i="7"/>
  <c r="M54" i="7"/>
  <c r="D54" i="7"/>
  <c r="C54" i="7"/>
  <c r="N53" i="7"/>
  <c r="M53" i="7"/>
  <c r="D53" i="7"/>
  <c r="C53" i="7"/>
  <c r="N52" i="7"/>
  <c r="M52" i="7"/>
  <c r="D52" i="7"/>
  <c r="C52" i="7"/>
  <c r="N51" i="7"/>
  <c r="M51" i="7"/>
  <c r="D51" i="7"/>
  <c r="C51" i="7"/>
  <c r="N50" i="7"/>
  <c r="M50" i="7"/>
  <c r="D50" i="7"/>
  <c r="C50" i="7"/>
  <c r="N49" i="7"/>
  <c r="M49" i="7"/>
  <c r="D49" i="7"/>
  <c r="C49" i="7"/>
  <c r="N48" i="7"/>
  <c r="M48" i="7"/>
  <c r="D48" i="7"/>
  <c r="C48" i="7"/>
  <c r="N47" i="7"/>
  <c r="M47" i="7"/>
  <c r="D47" i="7"/>
  <c r="C47" i="7"/>
  <c r="N46" i="7"/>
  <c r="M46" i="7"/>
  <c r="D46" i="7"/>
  <c r="C46" i="7"/>
  <c r="N45" i="7"/>
  <c r="M45" i="7"/>
  <c r="D45" i="7"/>
  <c r="C45" i="7"/>
  <c r="N44" i="7"/>
  <c r="M44" i="7"/>
  <c r="D44" i="7"/>
  <c r="C44" i="7"/>
  <c r="N43" i="7"/>
  <c r="M43" i="7"/>
  <c r="D43" i="7"/>
  <c r="C43" i="7"/>
  <c r="N42" i="7"/>
  <c r="M42" i="7"/>
  <c r="D42" i="7"/>
  <c r="C42" i="7"/>
  <c r="N41" i="7"/>
  <c r="M41" i="7"/>
  <c r="D41" i="7"/>
  <c r="C41" i="7"/>
  <c r="N40" i="7"/>
  <c r="M40" i="7"/>
  <c r="D40" i="7"/>
  <c r="C40" i="7"/>
  <c r="N39" i="7"/>
  <c r="M39" i="7"/>
  <c r="D39" i="7"/>
  <c r="C39" i="7"/>
  <c r="N38" i="7"/>
  <c r="M38" i="7"/>
  <c r="D38" i="7"/>
  <c r="C38" i="7"/>
  <c r="N37" i="7"/>
  <c r="M37" i="7"/>
  <c r="D37" i="7"/>
  <c r="C37" i="7"/>
  <c r="N36" i="7"/>
  <c r="M36" i="7"/>
  <c r="D36" i="7"/>
  <c r="C36" i="7"/>
  <c r="N35" i="7"/>
  <c r="M35" i="7"/>
  <c r="D35" i="7"/>
  <c r="C35" i="7"/>
  <c r="N34" i="7"/>
  <c r="M34" i="7"/>
  <c r="D34" i="7"/>
  <c r="C34" i="7"/>
  <c r="N33" i="7"/>
  <c r="M33" i="7"/>
  <c r="D33" i="7"/>
  <c r="C33" i="7"/>
  <c r="N32" i="7"/>
  <c r="M32" i="7"/>
  <c r="D32" i="7"/>
  <c r="C32" i="7"/>
  <c r="N31" i="7"/>
  <c r="M31" i="7"/>
  <c r="D31" i="7"/>
  <c r="C31" i="7"/>
  <c r="N30" i="7"/>
  <c r="M30" i="7"/>
  <c r="D30" i="7"/>
  <c r="C30" i="7"/>
  <c r="N29" i="7"/>
  <c r="M29" i="7"/>
  <c r="D29" i="7"/>
  <c r="C29" i="7"/>
  <c r="N28" i="7"/>
  <c r="M28" i="7"/>
  <c r="D28" i="7"/>
  <c r="C28" i="7"/>
  <c r="N27" i="7"/>
  <c r="M27" i="7"/>
  <c r="D27" i="7"/>
  <c r="C27" i="7"/>
  <c r="N26" i="7"/>
  <c r="M26" i="7"/>
  <c r="D26" i="7"/>
  <c r="C26" i="7"/>
  <c r="N25" i="7"/>
  <c r="M25" i="7"/>
  <c r="D25" i="7"/>
  <c r="C25" i="7"/>
  <c r="N24" i="7"/>
  <c r="M24" i="7"/>
  <c r="D24" i="7"/>
  <c r="C24" i="7"/>
  <c r="N23" i="7"/>
  <c r="M23" i="7"/>
  <c r="D23" i="7"/>
  <c r="C23" i="7"/>
  <c r="N22" i="7"/>
  <c r="M22" i="7"/>
  <c r="D22" i="7"/>
  <c r="C22" i="7"/>
  <c r="N21" i="7"/>
  <c r="M21" i="7"/>
  <c r="D21" i="7"/>
  <c r="C21" i="7"/>
  <c r="N20" i="7"/>
  <c r="M20" i="7"/>
  <c r="D20" i="7"/>
  <c r="C20" i="7"/>
  <c r="N19" i="7"/>
  <c r="M19" i="7"/>
  <c r="D19" i="7"/>
  <c r="C19" i="7"/>
  <c r="N18" i="7"/>
  <c r="M18" i="7"/>
  <c r="D18" i="7"/>
  <c r="C18" i="7"/>
  <c r="N17" i="7"/>
  <c r="M17" i="7"/>
  <c r="D17" i="7"/>
  <c r="C17" i="7"/>
  <c r="N16" i="7"/>
  <c r="M16" i="7"/>
  <c r="D16" i="7"/>
  <c r="C16" i="7"/>
  <c r="N15" i="7"/>
  <c r="M15" i="7"/>
  <c r="D15" i="7"/>
  <c r="C15" i="7"/>
  <c r="N14" i="7"/>
  <c r="M14" i="7"/>
  <c r="D14" i="7"/>
  <c r="C14" i="7"/>
  <c r="N13" i="7"/>
  <c r="M13" i="7"/>
  <c r="D13" i="7"/>
  <c r="C13" i="7"/>
  <c r="N12" i="7"/>
  <c r="M12" i="7"/>
  <c r="D12" i="7"/>
  <c r="C12" i="7"/>
  <c r="N11" i="7"/>
  <c r="M11" i="7"/>
  <c r="D11" i="7"/>
  <c r="C11" i="7"/>
  <c r="N10" i="7"/>
  <c r="M10" i="7"/>
  <c r="D10" i="7"/>
  <c r="C10" i="7"/>
  <c r="N9" i="7"/>
  <c r="M9" i="7"/>
  <c r="D9" i="7"/>
  <c r="C9" i="7"/>
  <c r="N8" i="7"/>
  <c r="M8" i="7"/>
  <c r="D8" i="7"/>
  <c r="C8" i="7"/>
  <c r="N7" i="7"/>
  <c r="M7" i="7"/>
  <c r="D7" i="7"/>
  <c r="C7" i="7"/>
  <c r="N6" i="7"/>
  <c r="M6" i="7"/>
  <c r="D6" i="7"/>
  <c r="C6" i="7"/>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U64" i="4"/>
  <c r="T64" i="4"/>
  <c r="V64" i="4" s="1"/>
  <c r="W64" i="4" s="1"/>
  <c r="J64" i="4"/>
  <c r="U63" i="4"/>
  <c r="T63" i="4"/>
  <c r="V63" i="4" s="1"/>
  <c r="W63" i="4" s="1"/>
  <c r="J63" i="4"/>
  <c r="U62" i="4"/>
  <c r="T62" i="4"/>
  <c r="V62" i="4" s="1"/>
  <c r="W62" i="4" s="1"/>
  <c r="J62" i="4"/>
  <c r="U61" i="4"/>
  <c r="T61" i="4"/>
  <c r="V61" i="4" s="1"/>
  <c r="W61" i="4" s="1"/>
  <c r="J61" i="4"/>
  <c r="U60" i="4"/>
  <c r="T60" i="4"/>
  <c r="V60" i="4" s="1"/>
  <c r="W60" i="4" s="1"/>
  <c r="J60" i="4"/>
  <c r="U59" i="4"/>
  <c r="T59" i="4"/>
  <c r="V59" i="4" s="1"/>
  <c r="W59" i="4" s="1"/>
  <c r="J59" i="4"/>
  <c r="U58" i="4"/>
  <c r="T58" i="4"/>
  <c r="V58" i="4" s="1"/>
  <c r="W58" i="4" s="1"/>
  <c r="J58" i="4"/>
  <c r="U57" i="4"/>
  <c r="T57" i="4"/>
  <c r="V57" i="4" s="1"/>
  <c r="W57" i="4" s="1"/>
  <c r="J57" i="4"/>
  <c r="U56" i="4"/>
  <c r="T56" i="4"/>
  <c r="V56" i="4" s="1"/>
  <c r="W56" i="4" s="1"/>
  <c r="J56" i="4"/>
  <c r="U55" i="4"/>
  <c r="T55" i="4"/>
  <c r="V55" i="4" s="1"/>
  <c r="W55" i="4" s="1"/>
  <c r="J55" i="4"/>
  <c r="U54" i="4"/>
  <c r="T54" i="4"/>
  <c r="V54" i="4" s="1"/>
  <c r="W54" i="4" s="1"/>
  <c r="J54" i="4"/>
  <c r="U53" i="4"/>
  <c r="T53" i="4"/>
  <c r="V53" i="4" s="1"/>
  <c r="W53" i="4" s="1"/>
  <c r="J53" i="4"/>
  <c r="U52" i="4"/>
  <c r="T52" i="4"/>
  <c r="V52" i="4" s="1"/>
  <c r="W52" i="4" s="1"/>
  <c r="J52" i="4"/>
  <c r="U51" i="4"/>
  <c r="T51" i="4"/>
  <c r="V51" i="4" s="1"/>
  <c r="W51" i="4" s="1"/>
  <c r="J51" i="4"/>
  <c r="U50" i="4"/>
  <c r="T50" i="4"/>
  <c r="V50" i="4" s="1"/>
  <c r="W50" i="4" s="1"/>
  <c r="J50" i="4"/>
  <c r="U49" i="4"/>
  <c r="T49" i="4"/>
  <c r="V49" i="4" s="1"/>
  <c r="W49" i="4" s="1"/>
  <c r="J49" i="4"/>
  <c r="U48" i="4"/>
  <c r="T48" i="4"/>
  <c r="V48" i="4" s="1"/>
  <c r="W48" i="4" s="1"/>
  <c r="J48" i="4"/>
  <c r="U47" i="4"/>
  <c r="T47" i="4"/>
  <c r="V47" i="4" s="1"/>
  <c r="W47" i="4" s="1"/>
  <c r="J47" i="4"/>
  <c r="U46" i="4"/>
  <c r="T46" i="4"/>
  <c r="V46" i="4" s="1"/>
  <c r="W46" i="4" s="1"/>
  <c r="J46" i="4"/>
  <c r="U45" i="4"/>
  <c r="T45" i="4"/>
  <c r="V45" i="4" s="1"/>
  <c r="W45" i="4" s="1"/>
  <c r="J45" i="4"/>
  <c r="U44" i="4"/>
  <c r="T44" i="4"/>
  <c r="V44" i="4" s="1"/>
  <c r="W44" i="4" s="1"/>
  <c r="J44" i="4"/>
  <c r="U43" i="4"/>
  <c r="T43" i="4"/>
  <c r="V43" i="4" s="1"/>
  <c r="W43" i="4" s="1"/>
  <c r="J43" i="4"/>
  <c r="U42" i="4"/>
  <c r="T42" i="4"/>
  <c r="V42" i="4" s="1"/>
  <c r="W42" i="4" s="1"/>
  <c r="J42" i="4"/>
  <c r="U41" i="4"/>
  <c r="T41" i="4"/>
  <c r="V41" i="4" s="1"/>
  <c r="W41" i="4" s="1"/>
  <c r="J41" i="4"/>
  <c r="U40" i="4"/>
  <c r="T40" i="4"/>
  <c r="V40" i="4" s="1"/>
  <c r="W40" i="4" s="1"/>
  <c r="J40" i="4"/>
  <c r="U39" i="4"/>
  <c r="T39" i="4"/>
  <c r="V39" i="4" s="1"/>
  <c r="W39" i="4" s="1"/>
  <c r="J39" i="4"/>
  <c r="U38" i="4"/>
  <c r="T38" i="4"/>
  <c r="V38" i="4" s="1"/>
  <c r="W38" i="4" s="1"/>
  <c r="J38" i="4"/>
  <c r="U37" i="4"/>
  <c r="T37" i="4"/>
  <c r="V37" i="4" s="1"/>
  <c r="W37" i="4" s="1"/>
  <c r="J37" i="4"/>
  <c r="U36" i="4"/>
  <c r="T36" i="4"/>
  <c r="V36" i="4" s="1"/>
  <c r="W36" i="4" s="1"/>
  <c r="J36" i="4"/>
  <c r="U35" i="4"/>
  <c r="T35" i="4"/>
  <c r="V35" i="4" s="1"/>
  <c r="W35" i="4" s="1"/>
  <c r="J35" i="4"/>
  <c r="U34" i="4"/>
  <c r="T34" i="4"/>
  <c r="V34" i="4" s="1"/>
  <c r="W34" i="4" s="1"/>
  <c r="J34" i="4"/>
  <c r="U33" i="4"/>
  <c r="T33" i="4"/>
  <c r="V33" i="4" s="1"/>
  <c r="W33" i="4" s="1"/>
  <c r="J33" i="4"/>
  <c r="U32" i="4"/>
  <c r="T32" i="4"/>
  <c r="V32" i="4" s="1"/>
  <c r="W32" i="4" s="1"/>
  <c r="J32" i="4"/>
  <c r="U31" i="4"/>
  <c r="T31" i="4"/>
  <c r="V31" i="4" s="1"/>
  <c r="W31" i="4" s="1"/>
  <c r="J31" i="4"/>
  <c r="U30" i="4"/>
  <c r="T30" i="4"/>
  <c r="V30" i="4" s="1"/>
  <c r="W30" i="4" s="1"/>
  <c r="J30" i="4"/>
  <c r="U29" i="4"/>
  <c r="T29" i="4"/>
  <c r="V29" i="4" s="1"/>
  <c r="W29" i="4" s="1"/>
  <c r="J29" i="4"/>
  <c r="U28" i="4"/>
  <c r="T28" i="4"/>
  <c r="V28" i="4" s="1"/>
  <c r="W28" i="4" s="1"/>
  <c r="J28" i="4"/>
  <c r="U27" i="4"/>
  <c r="T27" i="4"/>
  <c r="V27" i="4" s="1"/>
  <c r="W27" i="4" s="1"/>
  <c r="J27" i="4"/>
  <c r="U26" i="4"/>
  <c r="T26" i="4"/>
  <c r="V26" i="4" s="1"/>
  <c r="W26" i="4" s="1"/>
  <c r="J26" i="4"/>
  <c r="U25" i="4"/>
  <c r="T25" i="4"/>
  <c r="V25" i="4" s="1"/>
  <c r="W25" i="4" s="1"/>
  <c r="J25" i="4"/>
  <c r="U24" i="4"/>
  <c r="T24" i="4"/>
  <c r="V24" i="4" s="1"/>
  <c r="W24" i="4" s="1"/>
  <c r="J24" i="4"/>
  <c r="U23" i="4"/>
  <c r="T23" i="4"/>
  <c r="V23" i="4" s="1"/>
  <c r="W23" i="4" s="1"/>
  <c r="J23" i="4"/>
  <c r="U22" i="4"/>
  <c r="T22" i="4"/>
  <c r="V22" i="4" s="1"/>
  <c r="W22" i="4" s="1"/>
  <c r="J22" i="4"/>
  <c r="U21" i="4"/>
  <c r="T21" i="4"/>
  <c r="V21" i="4" s="1"/>
  <c r="W21" i="4" s="1"/>
  <c r="J21" i="4"/>
  <c r="U20" i="4"/>
  <c r="T20" i="4"/>
  <c r="V20" i="4" s="1"/>
  <c r="W20" i="4" s="1"/>
  <c r="J20" i="4"/>
  <c r="U19" i="4"/>
  <c r="T19" i="4"/>
  <c r="V19" i="4" s="1"/>
  <c r="W19" i="4" s="1"/>
  <c r="J19" i="4"/>
  <c r="U18" i="4"/>
  <c r="T18" i="4"/>
  <c r="V18" i="4" s="1"/>
  <c r="W18" i="4" s="1"/>
  <c r="J18" i="4"/>
  <c r="U17" i="4"/>
  <c r="T17" i="4"/>
  <c r="V17" i="4" s="1"/>
  <c r="W17" i="4" s="1"/>
  <c r="J17" i="4"/>
  <c r="U16" i="4"/>
  <c r="T16" i="4"/>
  <c r="V16" i="4" s="1"/>
  <c r="W16" i="4" s="1"/>
  <c r="J16" i="4"/>
  <c r="U15" i="4"/>
  <c r="T15" i="4"/>
  <c r="V15" i="4" s="1"/>
  <c r="W15" i="4" s="1"/>
  <c r="J15" i="4"/>
  <c r="U14" i="4"/>
  <c r="T14" i="4"/>
  <c r="V14" i="4" s="1"/>
  <c r="W14" i="4" s="1"/>
  <c r="J14" i="4"/>
  <c r="U13" i="4"/>
  <c r="T13" i="4"/>
  <c r="V13" i="4" s="1"/>
  <c r="W13" i="4" s="1"/>
  <c r="J13" i="4"/>
  <c r="U12" i="4"/>
  <c r="T12" i="4"/>
  <c r="V12" i="4" s="1"/>
  <c r="W12" i="4" s="1"/>
  <c r="J12" i="4"/>
  <c r="U11" i="4"/>
  <c r="T11" i="4"/>
  <c r="V11" i="4" s="1"/>
  <c r="W11" i="4" s="1"/>
  <c r="J11" i="4"/>
  <c r="U10" i="4"/>
  <c r="T10" i="4"/>
  <c r="V10" i="4" s="1"/>
  <c r="W10" i="4" s="1"/>
  <c r="J10" i="4"/>
  <c r="U9" i="4"/>
  <c r="T9" i="4"/>
  <c r="V9" i="4" s="1"/>
  <c r="W9" i="4" s="1"/>
  <c r="J9" i="4"/>
  <c r="U8" i="4"/>
  <c r="T8" i="4"/>
  <c r="V8" i="4" s="1"/>
  <c r="W8" i="4" s="1"/>
  <c r="J8" i="4"/>
  <c r="U7" i="4"/>
  <c r="T7" i="4"/>
  <c r="V7" i="4" s="1"/>
  <c r="W7" i="4" s="1"/>
  <c r="J7" i="4"/>
  <c r="U6" i="4"/>
  <c r="T6" i="4"/>
  <c r="V6" i="4" s="1"/>
  <c r="W6" i="4" s="1"/>
  <c r="J6" i="4"/>
  <c r="U5" i="4"/>
  <c r="T5" i="4"/>
  <c r="V5" i="4" s="1"/>
  <c r="W5" i="4" s="1"/>
  <c r="J5" i="4"/>
  <c r="C98" i="3"/>
  <c r="C97" i="3"/>
  <c r="C95" i="3"/>
  <c r="C94" i="3"/>
  <c r="C93" i="3"/>
  <c r="C92" i="3"/>
  <c r="E88" i="3"/>
  <c r="D88" i="3"/>
  <c r="C88" i="3"/>
  <c r="E87" i="3"/>
  <c r="D87" i="3"/>
  <c r="C87" i="3"/>
  <c r="E86" i="3"/>
  <c r="D86" i="3"/>
  <c r="C86" i="3"/>
  <c r="E85" i="3"/>
  <c r="D85" i="3"/>
  <c r="C85" i="3"/>
  <c r="E84" i="3"/>
  <c r="D84" i="3"/>
  <c r="C84" i="3"/>
  <c r="G60" i="3"/>
  <c r="F60" i="3"/>
  <c r="E60" i="3"/>
  <c r="D60" i="3"/>
  <c r="C60" i="3"/>
  <c r="G59" i="3"/>
  <c r="F59" i="3"/>
  <c r="E59" i="3"/>
  <c r="D59" i="3"/>
  <c r="C59" i="3"/>
  <c r="G58" i="3"/>
  <c r="F58" i="3"/>
  <c r="E58" i="3"/>
  <c r="D58" i="3"/>
  <c r="C58" i="3"/>
  <c r="G57" i="3"/>
  <c r="F57" i="3"/>
  <c r="E57" i="3"/>
  <c r="D57" i="3"/>
  <c r="C57" i="3"/>
  <c r="G56" i="3"/>
  <c r="F56" i="3"/>
  <c r="E56" i="3"/>
  <c r="D56" i="3"/>
  <c r="C56" i="3"/>
  <c r="C51" i="3"/>
  <c r="C50" i="3"/>
  <c r="C49" i="3"/>
  <c r="C48" i="3"/>
  <c r="C47" i="3"/>
  <c r="C46" i="3"/>
  <c r="C52" i="3" s="1"/>
  <c r="E42" i="3"/>
  <c r="D42" i="3"/>
  <c r="E41" i="3"/>
  <c r="D41" i="3"/>
  <c r="E40" i="3"/>
  <c r="D40" i="3"/>
  <c r="E39" i="3"/>
  <c r="D39" i="3"/>
  <c r="E38" i="3"/>
  <c r="D38" i="3"/>
  <c r="E37" i="3"/>
  <c r="D37" i="3"/>
  <c r="E36" i="3"/>
  <c r="D36" i="3"/>
  <c r="E35" i="3"/>
  <c r="D35" i="3"/>
  <c r="E34" i="3"/>
  <c r="D34" i="3"/>
  <c r="E33" i="3"/>
  <c r="D33" i="3"/>
  <c r="E32" i="3"/>
  <c r="D32" i="3"/>
  <c r="E31" i="3"/>
  <c r="D31" i="3"/>
  <c r="E30" i="3"/>
  <c r="D30" i="3"/>
  <c r="E26" i="3"/>
  <c r="D26" i="3"/>
  <c r="C26" i="3"/>
  <c r="E25" i="3"/>
  <c r="D25" i="3"/>
  <c r="C25" i="3"/>
  <c r="E24" i="3"/>
  <c r="D24" i="3"/>
  <c r="C24" i="3"/>
  <c r="E23" i="3"/>
  <c r="D23" i="3"/>
  <c r="C23" i="3"/>
  <c r="E22" i="3"/>
  <c r="D22" i="3"/>
  <c r="C22" i="3"/>
  <c r="E21" i="3"/>
  <c r="D21" i="3"/>
  <c r="C21" i="3"/>
  <c r="E20" i="3"/>
  <c r="D20" i="3"/>
  <c r="C20" i="3"/>
  <c r="E19" i="3"/>
  <c r="D19" i="3"/>
  <c r="C19" i="3"/>
  <c r="E18" i="3"/>
  <c r="D18" i="3"/>
  <c r="C18" i="3"/>
  <c r="E17" i="3"/>
  <c r="D17" i="3"/>
  <c r="C17" i="3"/>
  <c r="E16" i="3"/>
  <c r="D16" i="3"/>
  <c r="C16" i="3"/>
  <c r="E15" i="3"/>
  <c r="D15" i="3"/>
  <c r="C15" i="3"/>
  <c r="E14" i="3"/>
  <c r="D14" i="3"/>
  <c r="C14" i="3"/>
  <c r="E13" i="3"/>
  <c r="D13" i="3"/>
  <c r="C13" i="3"/>
  <c r="E12" i="3"/>
  <c r="D12" i="3"/>
  <c r="C12" i="3"/>
  <c r="E11" i="3"/>
  <c r="D11" i="3"/>
  <c r="C11" i="3"/>
  <c r="E10" i="3"/>
  <c r="D10" i="3"/>
  <c r="C10" i="3"/>
  <c r="E9" i="3"/>
  <c r="D9" i="3"/>
  <c r="C9" i="3"/>
  <c r="K5" i="3"/>
  <c r="E103" i="3" s="1"/>
  <c r="E5" i="3"/>
  <c r="C5" i="3"/>
  <c r="B5" i="3"/>
  <c r="C103" i="3" s="1"/>
  <c r="B2" i="3"/>
  <c r="C13" i="2"/>
  <c r="I20" i="18" l="1"/>
  <c r="G20" i="18"/>
  <c r="I19" i="18"/>
  <c r="G19" i="18"/>
  <c r="I18" i="18"/>
  <c r="G18" i="18"/>
  <c r="G17" i="18"/>
  <c r="I17" i="18"/>
  <c r="I16" i="18"/>
  <c r="G16" i="18"/>
  <c r="I15" i="18"/>
  <c r="G15" i="18"/>
  <c r="I14" i="18"/>
  <c r="G14" i="18"/>
  <c r="G13" i="18"/>
  <c r="I13" i="18"/>
  <c r="G12" i="18"/>
  <c r="I12" i="18"/>
  <c r="I11" i="18"/>
  <c r="G11" i="18"/>
  <c r="I10" i="18"/>
  <c r="G10" i="18"/>
  <c r="I9" i="18"/>
  <c r="G9" i="18"/>
  <c r="G8" i="18"/>
  <c r="I8" i="18"/>
  <c r="I7" i="18"/>
  <c r="G7" i="18"/>
  <c r="G6" i="18"/>
  <c r="I6" i="18"/>
  <c r="F23" i="18"/>
  <c r="G23" i="18" s="1"/>
  <c r="I5" i="18"/>
  <c r="G5" i="18"/>
  <c r="L205" i="8"/>
  <c r="M205" i="8" s="1"/>
  <c r="I205" i="8"/>
  <c r="L204" i="8"/>
  <c r="M204" i="8" s="1"/>
  <c r="I204" i="8"/>
  <c r="L203" i="8"/>
  <c r="M203" i="8" s="1"/>
  <c r="I203" i="8"/>
  <c r="L202" i="8"/>
  <c r="M202" i="8" s="1"/>
  <c r="I202" i="8"/>
  <c r="L201" i="8"/>
  <c r="M201" i="8" s="1"/>
  <c r="I201" i="8"/>
  <c r="L200" i="8"/>
  <c r="M200" i="8" s="1"/>
  <c r="I200" i="8"/>
  <c r="L199" i="8"/>
  <c r="M199" i="8" s="1"/>
  <c r="I199" i="8"/>
  <c r="I198" i="8"/>
  <c r="L198" i="8"/>
  <c r="M198" i="8" s="1"/>
  <c r="L197" i="8"/>
  <c r="M197" i="8" s="1"/>
  <c r="I197" i="8"/>
  <c r="L196" i="8"/>
  <c r="M196" i="8" s="1"/>
  <c r="I196" i="8"/>
  <c r="I195" i="8"/>
  <c r="L195" i="8"/>
  <c r="M195" i="8" s="1"/>
  <c r="L194" i="8"/>
  <c r="M194" i="8" s="1"/>
  <c r="I194" i="8"/>
  <c r="I193" i="8"/>
  <c r="L193" i="8"/>
  <c r="M193" i="8" s="1"/>
  <c r="L192" i="8"/>
  <c r="M192" i="8" s="1"/>
  <c r="I192" i="8"/>
  <c r="L191" i="8"/>
  <c r="M191" i="8" s="1"/>
  <c r="I191" i="8"/>
  <c r="L190" i="8"/>
  <c r="M190" i="8" s="1"/>
  <c r="I190" i="8"/>
  <c r="L189" i="8"/>
  <c r="M189" i="8" s="1"/>
  <c r="I189" i="8"/>
  <c r="L188" i="8"/>
  <c r="M188" i="8" s="1"/>
  <c r="I188" i="8"/>
  <c r="L187" i="8"/>
  <c r="M187" i="8" s="1"/>
  <c r="I187" i="8"/>
  <c r="L186" i="8"/>
  <c r="M186" i="8" s="1"/>
  <c r="I186" i="8"/>
  <c r="L185" i="8"/>
  <c r="M185" i="8" s="1"/>
  <c r="I185" i="8"/>
  <c r="L184" i="8"/>
  <c r="M184" i="8" s="1"/>
  <c r="I184" i="8"/>
  <c r="L183" i="8"/>
  <c r="M183" i="8" s="1"/>
  <c r="I183" i="8"/>
  <c r="L182" i="8"/>
  <c r="M182" i="8" s="1"/>
  <c r="I182" i="8"/>
  <c r="L181" i="8"/>
  <c r="M181" i="8" s="1"/>
  <c r="I181" i="8"/>
  <c r="L180" i="8"/>
  <c r="M180" i="8" s="1"/>
  <c r="I180" i="8"/>
  <c r="L179" i="8"/>
  <c r="M179" i="8" s="1"/>
  <c r="I179" i="8"/>
  <c r="I178" i="8"/>
  <c r="L178" i="8"/>
  <c r="M178" i="8" s="1"/>
  <c r="L177" i="8"/>
  <c r="M177" i="8" s="1"/>
  <c r="I177" i="8"/>
  <c r="L176" i="8"/>
  <c r="M176" i="8" s="1"/>
  <c r="I176" i="8"/>
  <c r="L175" i="8"/>
  <c r="M175" i="8" s="1"/>
  <c r="I175" i="8"/>
  <c r="I174" i="8"/>
  <c r="L174" i="8"/>
  <c r="M174" i="8" s="1"/>
  <c r="I173" i="8"/>
  <c r="L173" i="8"/>
  <c r="M173" i="8" s="1"/>
  <c r="I172" i="8"/>
  <c r="L172" i="8"/>
  <c r="M172" i="8" s="1"/>
  <c r="L171" i="8"/>
  <c r="M171" i="8" s="1"/>
  <c r="I171" i="8"/>
  <c r="I170" i="8"/>
  <c r="L170" i="8"/>
  <c r="M170" i="8" s="1"/>
  <c r="I169" i="8"/>
  <c r="L169" i="8"/>
  <c r="M169" i="8" s="1"/>
  <c r="L168" i="8"/>
  <c r="M168" i="8" s="1"/>
  <c r="I168" i="8"/>
  <c r="L167" i="8"/>
  <c r="M167" i="8" s="1"/>
  <c r="I167" i="8"/>
  <c r="L166" i="8"/>
  <c r="M166" i="8" s="1"/>
  <c r="I166" i="8"/>
  <c r="I165" i="8"/>
  <c r="L165" i="8"/>
  <c r="M165" i="8" s="1"/>
  <c r="L164" i="8"/>
  <c r="M164" i="8" s="1"/>
  <c r="I164" i="8"/>
  <c r="L163" i="8"/>
  <c r="M163" i="8" s="1"/>
  <c r="I163" i="8"/>
  <c r="I162" i="8"/>
  <c r="L162" i="8"/>
  <c r="M162" i="8" s="1"/>
  <c r="L161" i="8"/>
  <c r="M161" i="8" s="1"/>
  <c r="I161" i="8"/>
  <c r="L160" i="8"/>
  <c r="M160" i="8" s="1"/>
  <c r="I160" i="8"/>
  <c r="L159" i="8"/>
  <c r="M159" i="8" s="1"/>
  <c r="I159" i="8"/>
  <c r="L158" i="8"/>
  <c r="M158" i="8" s="1"/>
  <c r="I158" i="8"/>
  <c r="I157" i="8"/>
  <c r="L157" i="8"/>
  <c r="M157" i="8" s="1"/>
  <c r="L156" i="8"/>
  <c r="M156" i="8" s="1"/>
  <c r="I156" i="8"/>
  <c r="L155" i="8"/>
  <c r="M155" i="8" s="1"/>
  <c r="I155" i="8"/>
  <c r="L154" i="8"/>
  <c r="M154" i="8" s="1"/>
  <c r="I154" i="8"/>
  <c r="I153" i="8"/>
  <c r="L153" i="8"/>
  <c r="M153" i="8" s="1"/>
  <c r="L152" i="8"/>
  <c r="M152" i="8" s="1"/>
  <c r="I152" i="8"/>
  <c r="L151" i="8"/>
  <c r="M151" i="8" s="1"/>
  <c r="I151" i="8"/>
  <c r="I150" i="8"/>
  <c r="L150" i="8"/>
  <c r="M150" i="8" s="1"/>
  <c r="I149" i="8"/>
  <c r="L149" i="8"/>
  <c r="M149" i="8" s="1"/>
  <c r="L148" i="8"/>
  <c r="M148" i="8" s="1"/>
  <c r="I148" i="8"/>
  <c r="I147" i="8"/>
  <c r="L147" i="8"/>
  <c r="M147" i="8" s="1"/>
  <c r="L146" i="8"/>
  <c r="M146" i="8" s="1"/>
  <c r="I146" i="8"/>
  <c r="L145" i="8"/>
  <c r="M145" i="8" s="1"/>
  <c r="I145" i="8"/>
  <c r="I144" i="8"/>
  <c r="L144" i="8"/>
  <c r="M144" i="8" s="1"/>
  <c r="L143" i="8"/>
  <c r="M143" i="8" s="1"/>
  <c r="I143" i="8"/>
  <c r="L142" i="8"/>
  <c r="M142" i="8" s="1"/>
  <c r="I142" i="8"/>
  <c r="L141" i="8"/>
  <c r="M141" i="8" s="1"/>
  <c r="I141" i="8"/>
  <c r="L140" i="8"/>
  <c r="M140" i="8" s="1"/>
  <c r="I140" i="8"/>
  <c r="L139" i="8"/>
  <c r="M139" i="8" s="1"/>
  <c r="I139" i="8"/>
  <c r="I138" i="8"/>
  <c r="L138" i="8"/>
  <c r="M138" i="8" s="1"/>
  <c r="I137" i="8"/>
  <c r="L137" i="8"/>
  <c r="M137" i="8" s="1"/>
  <c r="L136" i="8"/>
  <c r="M136" i="8" s="1"/>
  <c r="I136" i="8"/>
  <c r="L135" i="8"/>
  <c r="M135" i="8" s="1"/>
  <c r="I135" i="8"/>
  <c r="L134" i="8"/>
  <c r="M134" i="8" s="1"/>
  <c r="I134" i="8"/>
  <c r="I133" i="8"/>
  <c r="L133" i="8"/>
  <c r="M133" i="8" s="1"/>
  <c r="I132" i="8"/>
  <c r="L132" i="8"/>
  <c r="M132" i="8" s="1"/>
  <c r="I131" i="8"/>
  <c r="L131" i="8"/>
  <c r="M131" i="8" s="1"/>
  <c r="I130" i="8"/>
  <c r="L130" i="8"/>
  <c r="M130" i="8" s="1"/>
  <c r="L129" i="8"/>
  <c r="M129" i="8" s="1"/>
  <c r="I129" i="8"/>
  <c r="I128" i="8"/>
  <c r="L128" i="8"/>
  <c r="M128" i="8" s="1"/>
  <c r="I127" i="8"/>
  <c r="L127" i="8"/>
  <c r="M127" i="8" s="1"/>
  <c r="L126" i="8"/>
  <c r="M126" i="8" s="1"/>
  <c r="I126" i="8"/>
  <c r="L125" i="8"/>
  <c r="M125" i="8" s="1"/>
  <c r="I125" i="8"/>
  <c r="L124" i="8"/>
  <c r="M124" i="8" s="1"/>
  <c r="I124" i="8"/>
  <c r="L123" i="8"/>
  <c r="M123" i="8" s="1"/>
  <c r="I123" i="8"/>
  <c r="L122" i="8"/>
  <c r="M122" i="8" s="1"/>
  <c r="I122" i="8"/>
  <c r="L121" i="8"/>
  <c r="M121" i="8" s="1"/>
  <c r="I121" i="8"/>
  <c r="L120" i="8"/>
  <c r="M120" i="8" s="1"/>
  <c r="I120" i="8"/>
  <c r="L119" i="8"/>
  <c r="M119" i="8" s="1"/>
  <c r="I119" i="8"/>
  <c r="L118" i="8"/>
  <c r="M118" i="8" s="1"/>
  <c r="I118" i="8"/>
  <c r="L117" i="8"/>
  <c r="M117" i="8" s="1"/>
  <c r="I117" i="8"/>
  <c r="L116" i="8"/>
  <c r="M116" i="8" s="1"/>
  <c r="I116" i="8"/>
  <c r="L115" i="8"/>
  <c r="M115" i="8" s="1"/>
  <c r="I115" i="8"/>
  <c r="L114" i="8"/>
  <c r="M114" i="8" s="1"/>
  <c r="I114" i="8"/>
  <c r="L113" i="8"/>
  <c r="M113" i="8" s="1"/>
  <c r="I113" i="8"/>
  <c r="L112" i="8"/>
  <c r="M112" i="8" s="1"/>
  <c r="I112" i="8"/>
  <c r="L111" i="8"/>
  <c r="M111" i="8" s="1"/>
  <c r="I111" i="8"/>
  <c r="L110" i="8"/>
  <c r="M110" i="8" s="1"/>
  <c r="I110" i="8"/>
  <c r="L109" i="8"/>
  <c r="M109" i="8" s="1"/>
  <c r="I109" i="8"/>
  <c r="L108" i="8"/>
  <c r="M108" i="8" s="1"/>
  <c r="I108" i="8"/>
  <c r="L107" i="8"/>
  <c r="M107" i="8" s="1"/>
  <c r="I107" i="8"/>
  <c r="L106" i="8"/>
  <c r="M106" i="8" s="1"/>
  <c r="I106" i="8"/>
  <c r="L105" i="8"/>
  <c r="M105" i="8" s="1"/>
  <c r="I105" i="8"/>
  <c r="L104" i="8"/>
  <c r="M104" i="8" s="1"/>
  <c r="I104" i="8"/>
  <c r="L103" i="8"/>
  <c r="M103" i="8" s="1"/>
  <c r="I103" i="8"/>
  <c r="L102" i="8"/>
  <c r="M102" i="8" s="1"/>
  <c r="I102" i="8"/>
  <c r="L101" i="8"/>
  <c r="M101" i="8" s="1"/>
  <c r="I101" i="8"/>
  <c r="L100" i="8"/>
  <c r="M100" i="8" s="1"/>
  <c r="I100" i="8"/>
  <c r="L99" i="8"/>
  <c r="M99" i="8" s="1"/>
  <c r="I99" i="8"/>
  <c r="L98" i="8"/>
  <c r="M98" i="8" s="1"/>
  <c r="I98" i="8"/>
  <c r="L97" i="8"/>
  <c r="M97" i="8" s="1"/>
  <c r="I97" i="8"/>
  <c r="L96" i="8"/>
  <c r="M96" i="8" s="1"/>
  <c r="I96" i="8"/>
  <c r="L95" i="8"/>
  <c r="M95" i="8" s="1"/>
  <c r="I95" i="8"/>
  <c r="L94" i="8"/>
  <c r="M94" i="8" s="1"/>
  <c r="I94" i="8"/>
  <c r="L93" i="8"/>
  <c r="M93" i="8" s="1"/>
  <c r="I93" i="8"/>
  <c r="L92" i="8"/>
  <c r="M92" i="8" s="1"/>
  <c r="I92" i="8"/>
  <c r="L91" i="8"/>
  <c r="M91" i="8" s="1"/>
  <c r="I91" i="8"/>
  <c r="L90" i="8"/>
  <c r="M90" i="8" s="1"/>
  <c r="I90" i="8"/>
  <c r="I89" i="8"/>
  <c r="L89" i="8"/>
  <c r="M89" i="8" s="1"/>
  <c r="L88" i="8"/>
  <c r="M88" i="8" s="1"/>
  <c r="I88" i="8"/>
  <c r="L87" i="8"/>
  <c r="M87" i="8" s="1"/>
  <c r="I87" i="8"/>
  <c r="L86" i="8"/>
  <c r="M86" i="8" s="1"/>
  <c r="I86" i="8"/>
  <c r="L85" i="8"/>
  <c r="M85" i="8" s="1"/>
  <c r="I85" i="8"/>
  <c r="I84" i="8"/>
  <c r="L84" i="8"/>
  <c r="M84" i="8" s="1"/>
  <c r="L83" i="8"/>
  <c r="M83" i="8" s="1"/>
  <c r="I83" i="8"/>
  <c r="L82" i="8"/>
  <c r="M82" i="8" s="1"/>
  <c r="I82" i="8"/>
  <c r="I81" i="8"/>
  <c r="L81" i="8"/>
  <c r="M81" i="8" s="1"/>
  <c r="L80" i="8"/>
  <c r="M80" i="8" s="1"/>
  <c r="I80" i="8"/>
  <c r="L79" i="8"/>
  <c r="M79" i="8" s="1"/>
  <c r="I79" i="8"/>
  <c r="L78" i="8"/>
  <c r="M78" i="8" s="1"/>
  <c r="I78" i="8"/>
  <c r="L77" i="8"/>
  <c r="M77" i="8" s="1"/>
  <c r="I77" i="8"/>
  <c r="L76" i="8"/>
  <c r="M76" i="8" s="1"/>
  <c r="I76" i="8"/>
  <c r="L75" i="8"/>
  <c r="M75" i="8" s="1"/>
  <c r="I75" i="8"/>
  <c r="L74" i="8"/>
  <c r="M74" i="8" s="1"/>
  <c r="I74" i="8"/>
  <c r="L73" i="8"/>
  <c r="M73" i="8" s="1"/>
  <c r="I73" i="8"/>
  <c r="L72" i="8"/>
  <c r="M72" i="8" s="1"/>
  <c r="I72" i="8"/>
  <c r="L71" i="8"/>
  <c r="M71" i="8" s="1"/>
  <c r="I71" i="8"/>
  <c r="L70" i="8"/>
  <c r="M70" i="8" s="1"/>
  <c r="I70" i="8"/>
  <c r="L69" i="8"/>
  <c r="M69" i="8" s="1"/>
  <c r="I69" i="8"/>
  <c r="L68" i="8"/>
  <c r="M68" i="8" s="1"/>
  <c r="I68" i="8"/>
  <c r="L67" i="8"/>
  <c r="M67" i="8" s="1"/>
  <c r="I67" i="8"/>
  <c r="L66" i="8"/>
  <c r="M66" i="8" s="1"/>
  <c r="I66" i="8"/>
  <c r="L65" i="8"/>
  <c r="M65" i="8" s="1"/>
  <c r="I65" i="8"/>
  <c r="L64" i="8"/>
  <c r="M64" i="8" s="1"/>
  <c r="I64" i="8"/>
  <c r="L63" i="8"/>
  <c r="M63" i="8" s="1"/>
  <c r="I63" i="8"/>
  <c r="L62" i="8"/>
  <c r="M62" i="8" s="1"/>
  <c r="I62" i="8"/>
  <c r="L61" i="8"/>
  <c r="M61" i="8" s="1"/>
  <c r="I61" i="8"/>
  <c r="L60" i="8"/>
  <c r="M60" i="8" s="1"/>
  <c r="I60" i="8"/>
  <c r="L59" i="8"/>
  <c r="M59" i="8" s="1"/>
  <c r="I59" i="8"/>
  <c r="L58" i="8"/>
  <c r="M58" i="8" s="1"/>
  <c r="I58" i="8"/>
  <c r="L57" i="8"/>
  <c r="M57" i="8" s="1"/>
  <c r="I57" i="8"/>
  <c r="L56" i="8"/>
  <c r="M56" i="8" s="1"/>
  <c r="I56" i="8"/>
  <c r="I55" i="8"/>
  <c r="L55" i="8"/>
  <c r="M55" i="8" s="1"/>
  <c r="I54" i="8"/>
  <c r="L54" i="8"/>
  <c r="M54" i="8" s="1"/>
  <c r="L53" i="8"/>
  <c r="M53" i="8" s="1"/>
  <c r="I53" i="8"/>
  <c r="L52" i="8"/>
  <c r="M52" i="8" s="1"/>
  <c r="I52" i="8"/>
  <c r="L51" i="8"/>
  <c r="M51" i="8" s="1"/>
  <c r="I51" i="8"/>
  <c r="L50" i="8"/>
  <c r="M50" i="8" s="1"/>
  <c r="I50" i="8"/>
  <c r="L49" i="8"/>
  <c r="M49" i="8" s="1"/>
  <c r="I49" i="8"/>
  <c r="L48" i="8"/>
  <c r="M48" i="8" s="1"/>
  <c r="I48" i="8"/>
  <c r="L47" i="8"/>
  <c r="M47" i="8" s="1"/>
  <c r="I47" i="8"/>
  <c r="L46" i="8"/>
  <c r="M46" i="8" s="1"/>
  <c r="I46" i="8"/>
  <c r="L45" i="8"/>
  <c r="M45" i="8" s="1"/>
  <c r="I45" i="8"/>
  <c r="L44" i="8"/>
  <c r="M44" i="8" s="1"/>
  <c r="I44" i="8"/>
  <c r="L43" i="8"/>
  <c r="M43" i="8" s="1"/>
  <c r="I43" i="8"/>
  <c r="L42" i="8"/>
  <c r="M42" i="8" s="1"/>
  <c r="I42" i="8"/>
  <c r="L41" i="8"/>
  <c r="M41" i="8" s="1"/>
  <c r="I41" i="8"/>
  <c r="L40" i="8"/>
  <c r="M40" i="8" s="1"/>
  <c r="I40" i="8"/>
  <c r="L39" i="8"/>
  <c r="M39" i="8" s="1"/>
  <c r="I39" i="8"/>
  <c r="L38" i="8"/>
  <c r="M38" i="8" s="1"/>
  <c r="I38" i="8"/>
  <c r="L37" i="8"/>
  <c r="M37" i="8" s="1"/>
  <c r="I37" i="8"/>
  <c r="L36" i="8"/>
  <c r="M36" i="8" s="1"/>
  <c r="I36" i="8"/>
  <c r="L35" i="8"/>
  <c r="M35" i="8" s="1"/>
  <c r="I35" i="8"/>
  <c r="L33" i="8"/>
  <c r="M33" i="8" s="1"/>
  <c r="I33" i="8"/>
  <c r="L32" i="8"/>
  <c r="M32" i="8" s="1"/>
  <c r="I32" i="8"/>
  <c r="I31" i="8"/>
  <c r="L31" i="8"/>
  <c r="M31" i="8" s="1"/>
  <c r="L30" i="8"/>
  <c r="M30" i="8" s="1"/>
  <c r="I30" i="8"/>
  <c r="L29" i="8"/>
  <c r="M29" i="8" s="1"/>
  <c r="I29" i="8"/>
  <c r="L28" i="8"/>
  <c r="M28" i="8" s="1"/>
  <c r="I28" i="8"/>
  <c r="L27" i="8"/>
  <c r="M27" i="8" s="1"/>
  <c r="I27" i="8"/>
  <c r="L26" i="8"/>
  <c r="M26" i="8" s="1"/>
  <c r="I26" i="8"/>
  <c r="L25" i="8"/>
  <c r="M25" i="8" s="1"/>
  <c r="I25" i="8"/>
  <c r="L24" i="8"/>
  <c r="M24" i="8" s="1"/>
  <c r="I24" i="8"/>
  <c r="I23" i="8"/>
  <c r="L23" i="8"/>
  <c r="M23" i="8" s="1"/>
  <c r="L22" i="8"/>
  <c r="M22" i="8" s="1"/>
  <c r="I22" i="8"/>
  <c r="L21" i="8"/>
  <c r="M21" i="8" s="1"/>
  <c r="I21" i="8"/>
  <c r="L20" i="8"/>
  <c r="M20" i="8" s="1"/>
  <c r="I20" i="8"/>
  <c r="L19" i="8"/>
  <c r="M19" i="8" s="1"/>
  <c r="I19" i="8"/>
  <c r="L18" i="8"/>
  <c r="M18" i="8" s="1"/>
  <c r="I18" i="8"/>
  <c r="L17" i="8"/>
  <c r="M17" i="8" s="1"/>
  <c r="I17" i="8"/>
  <c r="L16" i="8"/>
  <c r="M16" i="8" s="1"/>
  <c r="I16" i="8"/>
  <c r="I15" i="8"/>
  <c r="L15" i="8"/>
  <c r="M15" i="8" s="1"/>
  <c r="I14" i="8"/>
  <c r="L14" i="8"/>
  <c r="M14" i="8" s="1"/>
  <c r="L13" i="8"/>
  <c r="M13" i="8" s="1"/>
  <c r="I13" i="8"/>
  <c r="L12" i="8"/>
  <c r="M12" i="8" s="1"/>
  <c r="I12" i="8"/>
  <c r="L11" i="8"/>
  <c r="M11" i="8" s="1"/>
  <c r="I11" i="8"/>
  <c r="L10" i="8"/>
  <c r="M10" i="8" s="1"/>
  <c r="I10" i="8"/>
  <c r="L9" i="8"/>
  <c r="M9" i="8" s="1"/>
  <c r="I9" i="8"/>
  <c r="L8" i="8"/>
  <c r="M8" i="8" s="1"/>
  <c r="I8" i="8"/>
  <c r="L7" i="8"/>
  <c r="M7" i="8" s="1"/>
  <c r="I7" i="8"/>
  <c r="L6" i="8"/>
  <c r="M6" i="8" s="1"/>
  <c r="I6" i="8"/>
  <c r="L5" i="8"/>
  <c r="M5" i="8" s="1"/>
  <c r="I5" i="8"/>
  <c r="M64" i="4"/>
  <c r="N64" i="4"/>
  <c r="X64" i="4"/>
  <c r="Y64" i="4" s="1"/>
  <c r="M63" i="4"/>
  <c r="N63" i="4"/>
  <c r="X63" i="4"/>
  <c r="Y63" i="4" s="1"/>
  <c r="X62" i="4"/>
  <c r="Y62" i="4" s="1"/>
  <c r="N62" i="4"/>
  <c r="M62" i="4"/>
  <c r="X61" i="4"/>
  <c r="Y61" i="4" s="1"/>
  <c r="N61" i="4"/>
  <c r="M61" i="4"/>
  <c r="X60" i="4"/>
  <c r="Y60" i="4" s="1"/>
  <c r="N60" i="4"/>
  <c r="M60" i="4"/>
  <c r="X59" i="4"/>
  <c r="Y59" i="4" s="1"/>
  <c r="N59" i="4"/>
  <c r="M59" i="4"/>
  <c r="X58" i="4"/>
  <c r="Y58" i="4" s="1"/>
  <c r="M58" i="4"/>
  <c r="N58" i="4"/>
  <c r="N57" i="4"/>
  <c r="X57" i="4"/>
  <c r="Y57" i="4" s="1"/>
  <c r="M57" i="4"/>
  <c r="M56" i="4"/>
  <c r="N56" i="4"/>
  <c r="X56" i="4"/>
  <c r="Y56" i="4" s="1"/>
  <c r="N55" i="4"/>
  <c r="M55" i="4"/>
  <c r="X55" i="4"/>
  <c r="Y55" i="4" s="1"/>
  <c r="X54" i="4"/>
  <c r="Y54" i="4" s="1"/>
  <c r="N54" i="4"/>
  <c r="M54" i="4"/>
  <c r="X53" i="4"/>
  <c r="Y53" i="4" s="1"/>
  <c r="N53" i="4"/>
  <c r="M53" i="4"/>
  <c r="N52" i="4"/>
  <c r="M52" i="4"/>
  <c r="X52" i="4"/>
  <c r="Y52" i="4" s="1"/>
  <c r="M51" i="4"/>
  <c r="X51" i="4"/>
  <c r="Y51" i="4" s="1"/>
  <c r="N51" i="4"/>
  <c r="M50" i="4"/>
  <c r="X50" i="4"/>
  <c r="Y50" i="4" s="1"/>
  <c r="N50" i="4"/>
  <c r="N49" i="4"/>
  <c r="X49" i="4"/>
  <c r="Y49" i="4" s="1"/>
  <c r="M49" i="4"/>
  <c r="M48" i="4"/>
  <c r="N48" i="4"/>
  <c r="X48" i="4"/>
  <c r="Y48" i="4" s="1"/>
  <c r="N47" i="4"/>
  <c r="M47" i="4"/>
  <c r="X47" i="4"/>
  <c r="Y47" i="4" s="1"/>
  <c r="N46" i="4"/>
  <c r="M46" i="4"/>
  <c r="X46" i="4"/>
  <c r="Y46" i="4" s="1"/>
  <c r="M45" i="4"/>
  <c r="N45" i="4"/>
  <c r="X45" i="4"/>
  <c r="Y45" i="4" s="1"/>
  <c r="X44" i="4"/>
  <c r="Y44" i="4" s="1"/>
  <c r="N44" i="4"/>
  <c r="M44" i="4"/>
  <c r="M43" i="4"/>
  <c r="N43" i="4"/>
  <c r="X43" i="4"/>
  <c r="Y43" i="4" s="1"/>
  <c r="X42" i="4"/>
  <c r="Y42" i="4" s="1"/>
  <c r="N42" i="4"/>
  <c r="M42" i="4"/>
  <c r="N41" i="4"/>
  <c r="M41" i="4"/>
  <c r="X41" i="4"/>
  <c r="Y41" i="4" s="1"/>
  <c r="X40" i="4"/>
  <c r="Y40" i="4" s="1"/>
  <c r="N40" i="4"/>
  <c r="M40" i="4"/>
  <c r="X39" i="4"/>
  <c r="Y39" i="4" s="1"/>
  <c r="M39" i="4"/>
  <c r="N39" i="4"/>
  <c r="X38" i="4"/>
  <c r="Y38" i="4" s="1"/>
  <c r="N38" i="4"/>
  <c r="M38" i="4"/>
  <c r="X37" i="4"/>
  <c r="Y37" i="4" s="1"/>
  <c r="N37" i="4"/>
  <c r="M37" i="4"/>
  <c r="X36" i="4"/>
  <c r="Y36" i="4" s="1"/>
  <c r="N36" i="4"/>
  <c r="M36" i="4"/>
  <c r="M35" i="4"/>
  <c r="N35" i="4"/>
  <c r="X35" i="4"/>
  <c r="Y35" i="4" s="1"/>
  <c r="N34" i="4"/>
  <c r="M34" i="4"/>
  <c r="X34" i="4"/>
  <c r="Y34" i="4" s="1"/>
  <c r="M33" i="4"/>
  <c r="X33" i="4"/>
  <c r="Y33" i="4" s="1"/>
  <c r="N33" i="4"/>
  <c r="X32" i="4"/>
  <c r="Y32" i="4" s="1"/>
  <c r="N32" i="4"/>
  <c r="M32" i="4"/>
  <c r="N31" i="4"/>
  <c r="X31" i="4"/>
  <c r="Y31" i="4" s="1"/>
  <c r="M31" i="4"/>
  <c r="M30" i="4"/>
  <c r="X30" i="4"/>
  <c r="Y30" i="4" s="1"/>
  <c r="N30" i="4"/>
  <c r="N29" i="4"/>
  <c r="X29" i="4"/>
  <c r="Y29" i="4" s="1"/>
  <c r="M29" i="4"/>
  <c r="N28" i="4"/>
  <c r="M28" i="4"/>
  <c r="X28" i="4"/>
  <c r="Y28" i="4" s="1"/>
  <c r="M27" i="4"/>
  <c r="N27" i="4"/>
  <c r="X27" i="4"/>
  <c r="Y27" i="4" s="1"/>
  <c r="X26" i="4"/>
  <c r="Y26" i="4" s="1"/>
  <c r="M26" i="4"/>
  <c r="N26" i="4"/>
  <c r="X25" i="4"/>
  <c r="Y25" i="4" s="1"/>
  <c r="N25" i="4"/>
  <c r="M25" i="4"/>
  <c r="X24" i="4"/>
  <c r="Y24" i="4" s="1"/>
  <c r="N24" i="4"/>
  <c r="M24" i="4"/>
  <c r="X23" i="4"/>
  <c r="Y23" i="4" s="1"/>
  <c r="N23" i="4"/>
  <c r="M23" i="4"/>
  <c r="X22" i="4"/>
  <c r="Y22" i="4" s="1"/>
  <c r="N22" i="4"/>
  <c r="M22" i="4"/>
  <c r="M21" i="4"/>
  <c r="N21" i="4"/>
  <c r="X21" i="4"/>
  <c r="Y21" i="4" s="1"/>
  <c r="N20" i="4"/>
  <c r="X20" i="4"/>
  <c r="Y20" i="4" s="1"/>
  <c r="M20" i="4"/>
  <c r="M19" i="4"/>
  <c r="X19" i="4"/>
  <c r="Y19" i="4" s="1"/>
  <c r="N19" i="4"/>
  <c r="M18" i="4"/>
  <c r="N18" i="4"/>
  <c r="X18" i="4"/>
  <c r="Y18" i="4" s="1"/>
  <c r="X17" i="4"/>
  <c r="Y17" i="4" s="1"/>
  <c r="N17" i="4"/>
  <c r="M17" i="4"/>
  <c r="X16" i="4"/>
  <c r="Y16" i="4" s="1"/>
  <c r="N16" i="4"/>
  <c r="M16" i="4"/>
  <c r="X15" i="4"/>
  <c r="Y15" i="4" s="1"/>
  <c r="N15" i="4"/>
  <c r="M15" i="4"/>
  <c r="X14" i="4"/>
  <c r="Y14" i="4" s="1"/>
  <c r="M14" i="4"/>
  <c r="N14" i="4"/>
  <c r="X13" i="4"/>
  <c r="Y13" i="4" s="1"/>
  <c r="M13" i="4"/>
  <c r="N13" i="4"/>
  <c r="N12" i="4"/>
  <c r="M12" i="4"/>
  <c r="X12" i="4"/>
  <c r="Y12" i="4" s="1"/>
  <c r="X11" i="4"/>
  <c r="Y11" i="4" s="1"/>
  <c r="N11" i="4"/>
  <c r="M11" i="4"/>
  <c r="X10" i="4"/>
  <c r="Y10" i="4" s="1"/>
  <c r="N10" i="4"/>
  <c r="M10" i="4"/>
  <c r="X9" i="4"/>
  <c r="Y9" i="4" s="1"/>
  <c r="M9" i="4"/>
  <c r="N9" i="4"/>
  <c r="X8" i="4"/>
  <c r="Y8" i="4" s="1"/>
  <c r="N8" i="4"/>
  <c r="M8" i="4"/>
  <c r="X7" i="4"/>
  <c r="Y7" i="4" s="1"/>
  <c r="N7" i="4"/>
  <c r="M7" i="4"/>
  <c r="N6" i="4"/>
  <c r="M6" i="4"/>
  <c r="X6" i="4"/>
  <c r="Y6" i="4" s="1"/>
  <c r="X5" i="4"/>
  <c r="Y5" i="4" s="1"/>
  <c r="N5" i="4"/>
  <c r="G5" i="3" s="1"/>
  <c r="M5" i="4"/>
  <c r="I42" i="3"/>
  <c r="F42" i="3"/>
  <c r="H42" i="3"/>
  <c r="G42" i="3"/>
  <c r="G41" i="3"/>
  <c r="H41" i="3"/>
  <c r="I41" i="3"/>
  <c r="F41" i="3"/>
  <c r="I40" i="3"/>
  <c r="H40" i="3"/>
  <c r="G40" i="3"/>
  <c r="F40" i="3"/>
  <c r="H39" i="3"/>
  <c r="I39" i="3"/>
  <c r="G39" i="3"/>
  <c r="F39" i="3"/>
  <c r="F38" i="3"/>
  <c r="I38" i="3"/>
  <c r="H38" i="3"/>
  <c r="G38" i="3"/>
  <c r="I37" i="3"/>
  <c r="H37" i="3"/>
  <c r="G37" i="3"/>
  <c r="F37" i="3"/>
  <c r="G36" i="3"/>
  <c r="H36" i="3"/>
  <c r="I36" i="3"/>
  <c r="F36" i="3"/>
  <c r="H35" i="3"/>
  <c r="I35" i="3"/>
  <c r="F35" i="3"/>
  <c r="G35" i="3"/>
  <c r="F34" i="3"/>
  <c r="G34" i="3"/>
  <c r="I34" i="3"/>
  <c r="H34" i="3"/>
  <c r="G33" i="3"/>
  <c r="H33" i="3"/>
  <c r="I33" i="3"/>
  <c r="F33" i="3"/>
  <c r="I32" i="3"/>
  <c r="G32" i="3"/>
  <c r="F32" i="3"/>
  <c r="H32" i="3"/>
  <c r="I31" i="3"/>
  <c r="H31" i="3"/>
  <c r="G31" i="3"/>
  <c r="F31" i="3"/>
  <c r="I30" i="3"/>
  <c r="F30" i="3"/>
  <c r="G30" i="3"/>
  <c r="H30" i="3"/>
  <c r="F26" i="3"/>
  <c r="G26" i="3"/>
  <c r="H26" i="3"/>
  <c r="I26" i="3"/>
  <c r="I25" i="3"/>
  <c r="H25" i="3"/>
  <c r="G25" i="3"/>
  <c r="F25" i="3"/>
  <c r="F24" i="3"/>
  <c r="G24" i="3"/>
  <c r="H24" i="3"/>
  <c r="I24" i="3"/>
  <c r="F23" i="3"/>
  <c r="I23" i="3"/>
  <c r="G23" i="3"/>
  <c r="H23" i="3"/>
  <c r="I22" i="3"/>
  <c r="H22" i="3"/>
  <c r="F22" i="3"/>
  <c r="G22" i="3"/>
  <c r="H21" i="3"/>
  <c r="F21" i="3"/>
  <c r="G21" i="3"/>
  <c r="I21" i="3"/>
  <c r="I20" i="3"/>
  <c r="H20" i="3"/>
  <c r="G20" i="3"/>
  <c r="F20" i="3"/>
  <c r="I19" i="3"/>
  <c r="H19" i="3"/>
  <c r="G19" i="3"/>
  <c r="F19" i="3"/>
  <c r="G18" i="3"/>
  <c r="H18" i="3"/>
  <c r="F18" i="3"/>
  <c r="I18" i="3"/>
  <c r="I17" i="3"/>
  <c r="F17" i="3"/>
  <c r="H17" i="3"/>
  <c r="G17" i="3"/>
  <c r="I16" i="3"/>
  <c r="G16" i="3"/>
  <c r="F16" i="3"/>
  <c r="H16" i="3"/>
  <c r="G15" i="3"/>
  <c r="H15" i="3"/>
  <c r="F15" i="3"/>
  <c r="I15" i="3"/>
  <c r="H14" i="3"/>
  <c r="I14" i="3"/>
  <c r="G14" i="3"/>
  <c r="F14" i="3"/>
  <c r="F13" i="3"/>
  <c r="G13" i="3"/>
  <c r="I13" i="3"/>
  <c r="H13" i="3"/>
  <c r="I12" i="3"/>
  <c r="H12" i="3"/>
  <c r="G12" i="3"/>
  <c r="F12" i="3"/>
  <c r="H11" i="3"/>
  <c r="F11" i="3"/>
  <c r="I11" i="3"/>
  <c r="G11" i="3"/>
  <c r="H10" i="3"/>
  <c r="I10" i="3"/>
  <c r="G10" i="3"/>
  <c r="F10" i="3"/>
  <c r="H9" i="3"/>
  <c r="G9" i="3"/>
  <c r="F9" i="3"/>
  <c r="I9" i="3"/>
  <c r="L7" i="4"/>
  <c r="L36" i="4"/>
  <c r="L35" i="4"/>
  <c r="L30" i="4"/>
  <c r="L15" i="4"/>
  <c r="L6" i="4"/>
  <c r="L34" i="4"/>
  <c r="L33" i="4"/>
  <c r="L32" i="4"/>
  <c r="L16" i="4"/>
  <c r="L5" i="4"/>
  <c r="L17" i="4"/>
  <c r="L19" i="4"/>
  <c r="L20" i="4"/>
  <c r="L21" i="4"/>
  <c r="L22" i="4"/>
  <c r="L64" i="4"/>
  <c r="L63" i="4"/>
  <c r="L62" i="4"/>
  <c r="L23" i="4"/>
  <c r="L61" i="4"/>
  <c r="L60" i="4"/>
  <c r="L59" i="4"/>
  <c r="L58" i="4"/>
  <c r="L31" i="4"/>
  <c r="L29" i="4"/>
  <c r="L39" i="4"/>
  <c r="L40" i="4"/>
  <c r="L13" i="4"/>
  <c r="L41" i="4"/>
  <c r="L42" i="4"/>
  <c r="L28" i="4"/>
  <c r="L43" i="4"/>
  <c r="L12" i="4"/>
  <c r="L44" i="4"/>
  <c r="L45" i="4"/>
  <c r="L38" i="4"/>
  <c r="L46" i="4"/>
  <c r="L27" i="4"/>
  <c r="L11" i="4"/>
  <c r="L47" i="4"/>
  <c r="L48" i="4"/>
  <c r="L49" i="4"/>
  <c r="L50" i="4"/>
  <c r="L10" i="4"/>
  <c r="L26" i="4"/>
  <c r="L51" i="4"/>
  <c r="L52" i="4"/>
  <c r="L53" i="4"/>
  <c r="L9" i="4"/>
  <c r="L54" i="4"/>
  <c r="L25" i="4"/>
  <c r="L14" i="4"/>
  <c r="L55" i="4"/>
  <c r="L8" i="4"/>
  <c r="L56" i="4"/>
  <c r="L57" i="4"/>
  <c r="L24" i="4"/>
  <c r="L37" i="4"/>
  <c r="L18" i="4"/>
  <c r="Z64" i="4" l="1"/>
  <c r="AA64" i="4"/>
  <c r="Z63" i="4"/>
  <c r="AA63" i="4"/>
  <c r="Z62" i="4"/>
  <c r="AA62" i="4"/>
  <c r="Z61" i="4"/>
  <c r="AA61" i="4"/>
  <c r="Z60" i="4"/>
  <c r="AA60" i="4"/>
  <c r="Z59" i="4"/>
  <c r="AA59" i="4"/>
  <c r="Z58" i="4"/>
  <c r="AA58" i="4"/>
  <c r="Z57" i="4"/>
  <c r="AA57" i="4"/>
  <c r="Z56" i="4"/>
  <c r="AA56" i="4"/>
  <c r="Z55" i="4"/>
  <c r="AA55" i="4"/>
  <c r="Z54" i="4"/>
  <c r="AA54" i="4"/>
  <c r="Z53" i="4"/>
  <c r="AA53" i="4"/>
  <c r="Z52" i="4"/>
  <c r="AA52" i="4"/>
  <c r="Z51" i="4"/>
  <c r="AA51" i="4"/>
  <c r="Z50" i="4"/>
  <c r="AA50" i="4"/>
  <c r="Z49" i="4"/>
  <c r="AA49" i="4"/>
  <c r="Z48" i="4"/>
  <c r="AA48" i="4"/>
  <c r="Z47" i="4"/>
  <c r="AA47" i="4"/>
  <c r="Z46" i="4"/>
  <c r="AA46" i="4"/>
  <c r="Z45" i="4"/>
  <c r="AA45" i="4"/>
  <c r="Z44" i="4"/>
  <c r="AA44" i="4"/>
  <c r="Z43" i="4"/>
  <c r="AA43" i="4"/>
  <c r="Z42" i="4"/>
  <c r="AA42" i="4"/>
  <c r="Z41" i="4"/>
  <c r="AA41" i="4"/>
  <c r="Z40" i="4"/>
  <c r="AA40" i="4"/>
  <c r="Z39" i="4"/>
  <c r="AA39" i="4"/>
  <c r="Z38" i="4"/>
  <c r="AA38" i="4"/>
  <c r="Z37" i="4"/>
  <c r="AA37" i="4"/>
  <c r="Z36" i="4"/>
  <c r="AA36" i="4"/>
  <c r="Z35" i="4"/>
  <c r="AA35" i="4"/>
  <c r="Z34" i="4"/>
  <c r="AA34" i="4"/>
  <c r="Z33" i="4"/>
  <c r="AA33" i="4"/>
  <c r="Z32" i="4"/>
  <c r="AA32" i="4"/>
  <c r="Z31" i="4"/>
  <c r="AA31" i="4"/>
  <c r="Z30" i="4"/>
  <c r="AA30" i="4"/>
  <c r="Z29" i="4"/>
  <c r="AA29" i="4"/>
  <c r="Z28" i="4"/>
  <c r="AA28" i="4"/>
  <c r="Z27" i="4"/>
  <c r="AA27" i="4"/>
  <c r="Z26" i="4"/>
  <c r="AA26" i="4"/>
  <c r="Z25" i="4"/>
  <c r="AA25" i="4"/>
  <c r="Z24" i="4"/>
  <c r="AA24" i="4"/>
  <c r="Z23" i="4"/>
  <c r="AA23" i="4"/>
  <c r="Z22" i="4"/>
  <c r="AA22" i="4"/>
  <c r="Z21" i="4"/>
  <c r="AA21" i="4"/>
  <c r="Z20" i="4"/>
  <c r="AA20" i="4"/>
  <c r="Z19" i="4"/>
  <c r="AA19" i="4"/>
  <c r="Z18" i="4"/>
  <c r="AA18" i="4"/>
  <c r="Z17" i="4"/>
  <c r="AA17" i="4"/>
  <c r="Z16" i="4"/>
  <c r="AA16" i="4"/>
  <c r="Z15" i="4"/>
  <c r="AA15" i="4"/>
  <c r="Z14" i="4"/>
  <c r="AA14" i="4"/>
  <c r="Z13" i="4"/>
  <c r="AA13" i="4"/>
  <c r="Z12" i="4"/>
  <c r="AA12" i="4"/>
  <c r="Z11" i="4"/>
  <c r="AA11" i="4"/>
  <c r="Z10" i="4"/>
  <c r="AA10" i="4"/>
  <c r="Z9" i="4"/>
  <c r="AA9" i="4"/>
  <c r="Z8" i="4"/>
  <c r="AA8" i="4"/>
  <c r="Z7" i="4"/>
  <c r="AA7" i="4"/>
  <c r="Z6" i="4"/>
  <c r="AA6" i="4"/>
  <c r="Z5" i="4"/>
  <c r="AA5" i="4"/>
  <c r="C65" i="3" l="1"/>
  <c r="C64" i="3"/>
  <c r="C67" i="3"/>
  <c r="C66" i="3"/>
  <c r="I5" i="3"/>
  <c r="D103" i="3" s="1"/>
  <c r="B71" i="3"/>
  <c r="C71" i="3"/>
  <c r="E71" i="3"/>
  <c r="G71" i="3"/>
  <c r="B72" i="3"/>
  <c r="E72" i="3"/>
  <c r="F72" i="3"/>
  <c r="G72" i="3"/>
  <c r="B73" i="3"/>
  <c r="C73" i="3"/>
  <c r="D73" i="3"/>
  <c r="E73" i="3"/>
  <c r="F73" i="3"/>
  <c r="G73" i="3"/>
  <c r="B74" i="3"/>
  <c r="C74" i="3"/>
  <c r="D74" i="3"/>
  <c r="E74" i="3"/>
  <c r="F74" i="3"/>
  <c r="G74" i="3"/>
  <c r="B75" i="3"/>
  <c r="C75" i="3"/>
  <c r="D75" i="3"/>
  <c r="E75" i="3"/>
  <c r="F75" i="3"/>
  <c r="G75" i="3"/>
  <c r="B76" i="3"/>
  <c r="C76" i="3"/>
  <c r="D76" i="3"/>
  <c r="E76" i="3"/>
  <c r="F76" i="3"/>
  <c r="G76" i="3"/>
  <c r="B77" i="3"/>
  <c r="C77" i="3"/>
  <c r="D77" i="3"/>
  <c r="E77" i="3"/>
  <c r="F77" i="3"/>
  <c r="G77" i="3"/>
  <c r="B78" i="3"/>
  <c r="C78" i="3"/>
  <c r="D78" i="3"/>
  <c r="E78" i="3"/>
  <c r="F78" i="3"/>
  <c r="G78" i="3"/>
  <c r="B79" i="3"/>
  <c r="C79" i="3"/>
  <c r="D79" i="3"/>
  <c r="E79" i="3"/>
  <c r="F79" i="3"/>
  <c r="G79" i="3"/>
  <c r="B80" i="3"/>
  <c r="C80" i="3"/>
  <c r="D80" i="3"/>
  <c r="E80" i="3"/>
  <c r="F80" i="3"/>
  <c r="G80" i="3"/>
  <c r="F71" i="3"/>
  <c r="C72" i="3"/>
  <c r="D71" i="3"/>
  <c r="D72" i="3"/>
</calcChain>
</file>

<file path=xl/sharedStrings.xml><?xml version="1.0" encoding="utf-8"?>
<sst xmlns="http://schemas.openxmlformats.org/spreadsheetml/2006/main" count="5200" uniqueCount="2351">
  <si>
    <t>Security Assessment Operating System (SAOS)</t>
  </si>
  <si>
    <t>Purpose</t>
  </si>
  <si>
    <t>Vendor-neutral, framework-driven assessment toolkit for client engagements. Every control carries a purpose, evidence requirements, test procedure, maturity anchors, risk rating, remediation guidance and framework mappings.</t>
  </si>
  <si>
    <t>This release contains the Phase 0 foundations (methodology, risk and maturity models, registers, dashboard) and the first completed domain: Server Security (60 controls). See Domain_Registry for build status of all domains.</t>
  </si>
  <si>
    <t>How to run an engagement</t>
  </si>
  <si>
    <t>1. Scope: complete the Scope sheet (client, tier, platforms, domains). Applicable? and target maturity pre-fill from it.</t>
  </si>
  <si>
    <t>2. Evidence: send Evidence_Requests to the client; log each received item in Evidence_Register and link its ID back to the request.</t>
  </si>
  <si>
    <t>3. Assess: in Assessment score Current Maturity 0-5 for each control using Maturity_Model and the L1/L3/L5 anchors in Control_Library. Record tests performed, evidence IDs and notes.</t>
  </si>
  <si>
    <t>4. Findings and risks: raise a finding for each material gap in Findings_Register, a matching entry in Risk_Register, and an action in Remediation_Tracker.</t>
  </si>
  <si>
    <t>5. Context: capture Crown_Jewels and Attack_Paths so findings are prioritised by business criticality and realistic attack routes.</t>
  </si>
  <si>
    <t>6. Report: read results from Dashboard, then complete the Word executive report template.</t>
  </si>
  <si>
    <t>Colour legend</t>
  </si>
  <si>
    <t>Navy header = table headings.   Blue text on yellow = input cell (overtype).   Black on white or grey = formula or library data (do not overtype).   Grey italic row 5 on registers = worked example (excluded from all counts).</t>
  </si>
  <si>
    <t>Worked example</t>
  </si>
  <si>
    <t>SRV-LOG-02 (logs forwarded to a central tamper-resistant store). Assessor finds forwarding on 60% of servers and no log-cleared alert: Current Maturity 2, Target 3, Gap 1.</t>
  </si>
  <si>
    <t>Default Likelihood 4 x Impact 5 = Inherent 20 (Critical). Effectiveness at maturity 2 is 30%, so Residual = 20 x (1 - 0.30) = 14.0 (High). Raise a finding, a risk and a remediation action.</t>
  </si>
  <si>
    <t>Scoring summary</t>
  </si>
  <si>
    <t>Domain and family scores are criticality-weighted averages of Current Maturity (weights 1-3 per control) over in-scope, assessed controls.</t>
  </si>
  <si>
    <t>Inherent risk = Likelihood x Impact. Residual = Inherent x (1 - effectiveness at the assessed maturity). Bands: 0-4.9 Low, 5-9.9 Medium, 10-16.9 High, 17+ Critical. All parameters are editable on Risk_Model.</t>
  </si>
  <si>
    <t>Sheet guide</t>
  </si>
  <si>
    <t>Scope, Assessment, Evidence_Requests, Evidence_Register, Findings_Register, Risk_Register, Remediation_Tracker, Crown_Jewels, Attack_Paths = working sheets (tab colour amber).</t>
  </si>
  <si>
    <t>Dashboard = results.  Control_Library, Mapping_Matrix, MITRE_Matrix, ZeroTrust_Matrix = reference (generated from the YAML library).  Maturity_Model, Risk_Model, Domain_Registry, Lists = configuration.</t>
  </si>
  <si>
    <t>Limitations</t>
  </si>
  <si>
    <t>Framework mappings (ISO 27001:2022 Annex A, NIST CSF 2.0, CIS Controls v8.1, SOC 2 2017 TSC, MITRE ATT&amp;CK, OWASP) were authored from working knowledge of the published frameworks and must be verified against the licensed or current source documents before being issued to a client.</t>
  </si>
  <si>
    <t>Commands and portal paths in Validation Procedure assume standard configurations and should be run only under written authorisation. Review them in a test environment first.</t>
  </si>
  <si>
    <t>Registers are formatted for 200 rows; Assessment and dashboard formulas read to row 2000 so the library can grow to its full size.</t>
  </si>
  <si>
    <t>Engagement Scope</t>
  </si>
  <si>
    <t>Blue cells on yellow are inputs. Domain and platform choices pre-fill the "Applicable?" column in the Assessment sheet.</t>
  </si>
  <si>
    <t>Engagement</t>
  </si>
  <si>
    <t>Default target by tier</t>
  </si>
  <si>
    <t>Client name</t>
  </si>
  <si>
    <t>Org tier</t>
  </si>
  <si>
    <t>Default target</t>
  </si>
  <si>
    <t>Engagement reference</t>
  </si>
  <si>
    <t>SMB</t>
  </si>
  <si>
    <t>Assessment start date</t>
  </si>
  <si>
    <t>Mid-size</t>
  </si>
  <si>
    <t>Assessment end date</t>
  </si>
  <si>
    <t>Enterprise</t>
  </si>
  <si>
    <t>Lead assessor</t>
  </si>
  <si>
    <t>Multinational</t>
  </si>
  <si>
    <t>Reviewer</t>
  </si>
  <si>
    <t>Government</t>
  </si>
  <si>
    <t>Organisation size tier</t>
  </si>
  <si>
    <t>SAOS defaults - edit to client risk appetite.</t>
  </si>
  <si>
    <t>Industry</t>
  </si>
  <si>
    <t>Regulatory and contractual drivers</t>
  </si>
  <si>
    <t>Default target maturity</t>
  </si>
  <si>
    <t>Default comes from the tier table; overtype C13 to set a client-specific target. Individual targets can be overtyped in Assessment column L.</t>
  </si>
  <si>
    <t>Platform scope</t>
  </si>
  <si>
    <t>Platform</t>
  </si>
  <si>
    <t>In scope?</t>
  </si>
  <si>
    <t>Notes</t>
  </si>
  <si>
    <t>Windows</t>
  </si>
  <si>
    <t>Yes</t>
  </si>
  <si>
    <t>Windows Server</t>
  </si>
  <si>
    <t>Linux</t>
  </si>
  <si>
    <t>Linux servers</t>
  </si>
  <si>
    <t>Hypervisor</t>
  </si>
  <si>
    <t>VMware, Hyper-V, Proxmox</t>
  </si>
  <si>
    <t>Domain scope</t>
  </si>
  <si>
    <t>Domain</t>
  </si>
  <si>
    <t>Governance</t>
  </si>
  <si>
    <t>Asset Management</t>
  </si>
  <si>
    <t>Identity and Access Management</t>
  </si>
  <si>
    <t>Endpoint Security</t>
  </si>
  <si>
    <t>Server Security</t>
  </si>
  <si>
    <t>Network Security</t>
  </si>
  <si>
    <t>Microsoft 365</t>
  </si>
  <si>
    <t>Cloud Security</t>
  </si>
  <si>
    <t>Application Security</t>
  </si>
  <si>
    <t>API Security</t>
  </si>
  <si>
    <t>Security Operations</t>
  </si>
  <si>
    <t>Vulnerability Management</t>
  </si>
  <si>
    <t>Data Protection</t>
  </si>
  <si>
    <t>Backup and Recovery</t>
  </si>
  <si>
    <t>DevSecOps</t>
  </si>
  <si>
    <t>Google Workspace</t>
  </si>
  <si>
    <t>OT/ICS (future)</t>
  </si>
  <si>
    <t>AI Systems (future)</t>
  </si>
  <si>
    <t>SAOS Executive Dashboard</t>
  </si>
  <si>
    <t>Overall maturity (0-5)</t>
  </si>
  <si>
    <t>Maturity %</t>
  </si>
  <si>
    <t>Assessment completion</t>
  </si>
  <si>
    <t>Controls with a gap</t>
  </si>
  <si>
    <t>Critical / High residual</t>
  </si>
  <si>
    <t>Open Critical/High findings</t>
  </si>
  <si>
    <t>Domain scores</t>
  </si>
  <si>
    <t>Controls in library</t>
  </si>
  <si>
    <t>In scope</t>
  </si>
  <si>
    <t>Assessed</t>
  </si>
  <si>
    <t>Avg maturity</t>
  </si>
  <si>
    <t>Avg target</t>
  </si>
  <si>
    <t>Gap</t>
  </si>
  <si>
    <t>Status</t>
  </si>
  <si>
    <t>Control family scores (heat map)</t>
  </si>
  <si>
    <t>Family</t>
  </si>
  <si>
    <t>Physical and Environmental Security</t>
  </si>
  <si>
    <t>Secure Configuration and Change</t>
  </si>
  <si>
    <t>Patch and Lifecycle Management</t>
  </si>
  <si>
    <t>Logging and Time Synchronization</t>
  </si>
  <si>
    <t>Host Protection</t>
  </si>
  <si>
    <t>Vulnerability Assessment</t>
  </si>
  <si>
    <t>Network Placement and Exposure</t>
  </si>
  <si>
    <t>Authentication and Access Control</t>
  </si>
  <si>
    <t>Secure Administration</t>
  </si>
  <si>
    <t>Backup, Restore and Recovery</t>
  </si>
  <si>
    <t>Governance, Ownership and Risk</t>
  </si>
  <si>
    <t>Virtualization Platforms</t>
  </si>
  <si>
    <t>Maturity distribution (in-scope controls)</t>
  </si>
  <si>
    <t>Maturity level</t>
  </si>
  <si>
    <t>Controls</t>
  </si>
  <si>
    <t>0 - Non-Existent</t>
  </si>
  <si>
    <t>1 - Initial</t>
  </si>
  <si>
    <t>2 - Repeatable</t>
  </si>
  <si>
    <t>3 - Defined</t>
  </si>
  <si>
    <t>4 - Managed</t>
  </si>
  <si>
    <t>5 - Optimized</t>
  </si>
  <si>
    <t>Not yet assessed</t>
  </si>
  <si>
    <t>Inherent risk heat map (in-scope controls: count by Likelihood x Impact)</t>
  </si>
  <si>
    <t>Likelihood \ Impact</t>
  </si>
  <si>
    <t>5 - Almost certain</t>
  </si>
  <si>
    <t>4 - Likely</t>
  </si>
  <si>
    <t>3 - Possible</t>
  </si>
  <si>
    <t>2 - Unlikely</t>
  </si>
  <si>
    <t>1 - Rare</t>
  </si>
  <si>
    <t>Residual risk distribution (assessed controls)</t>
  </si>
  <si>
    <t>Residual rating</t>
  </si>
  <si>
    <t>Critical</t>
  </si>
  <si>
    <t>High</t>
  </si>
  <si>
    <t>Medium</t>
  </si>
  <si>
    <t>Low</t>
  </si>
  <si>
    <t>Top 10 residual risks</t>
  </si>
  <si>
    <t>Control</t>
  </si>
  <si>
    <t>Control ID</t>
  </si>
  <si>
    <t>Current</t>
  </si>
  <si>
    <t>Target</t>
  </si>
  <si>
    <t>Residual score</t>
  </si>
  <si>
    <t>Findings overview</t>
  </si>
  <si>
    <t>Severity</t>
  </si>
  <si>
    <t>Total</t>
  </si>
  <si>
    <t>Open / In Progress</t>
  </si>
  <si>
    <t>Overdue</t>
  </si>
  <si>
    <t>Informational</t>
  </si>
  <si>
    <t>Remediation and evidence overview</t>
  </si>
  <si>
    <t>Measure</t>
  </si>
  <si>
    <t>Value</t>
  </si>
  <si>
    <t>Actions: not started</t>
  </si>
  <si>
    <t>Actions: in progress</t>
  </si>
  <si>
    <t>Actions: blocked</t>
  </si>
  <si>
    <t>Actions: completed or verified</t>
  </si>
  <si>
    <t>Actions overdue</t>
  </si>
  <si>
    <t>Average % complete</t>
  </si>
  <si>
    <t>Evidence requests received</t>
  </si>
  <si>
    <t>Trend analysis</t>
  </si>
  <si>
    <t>First row is live. At the end of each assessment cycle copy the live values into the next empty row (paste as values) to build the trend.</t>
  </si>
  <si>
    <t>Period</t>
  </si>
  <si>
    <t>Overall maturity</t>
  </si>
  <si>
    <t>Crit/High residual</t>
  </si>
  <si>
    <t>Open Crit/High findings</t>
  </si>
  <si>
    <t>Current (live)</t>
  </si>
  <si>
    <t>Assessment Workbook</t>
  </si>
  <si>
    <t>Yellow cells with blue text are inputs. Applicable? is pre-filled from Scope (overtype to override). Score 0-5 using Maturity_Model and the anchors in Control_Library.</t>
  </si>
  <si>
    <t>Control Family</t>
  </si>
  <si>
    <t>Control Name</t>
  </si>
  <si>
    <t>Assessment Question</t>
  </si>
  <si>
    <t>Weight</t>
  </si>
  <si>
    <t>Default Likelihood</t>
  </si>
  <si>
    <t>Default Impact</t>
  </si>
  <si>
    <t>Applicable?</t>
  </si>
  <si>
    <t>Current Maturity (0-5)</t>
  </si>
  <si>
    <t>Target Maturity (0-5)</t>
  </si>
  <si>
    <t>Tests Performed</t>
  </si>
  <si>
    <t>Evidence Ref(s)</t>
  </si>
  <si>
    <t>Assessor Notes / Observations</t>
  </si>
  <si>
    <t>Likelihood Override</t>
  </si>
  <si>
    <t>Impact Override</t>
  </si>
  <si>
    <t>Likelihood Used</t>
  </si>
  <si>
    <t>Impact Used</t>
  </si>
  <si>
    <t>Inherent Score</t>
  </si>
  <si>
    <t>Inherent Rating</t>
  </si>
  <si>
    <t>Control Effectiveness</t>
  </si>
  <si>
    <t>Residual Score</t>
  </si>
  <si>
    <t>Residual Rating</t>
  </si>
  <si>
    <t>Rank Key (helper)</t>
  </si>
  <si>
    <t>SRV-PHY-01</t>
  </si>
  <si>
    <t>All</t>
  </si>
  <si>
    <t>Physical access to servers is restricted and logged</t>
  </si>
  <si>
    <t>Are servers housed in locked racks or access-controlled rooms, with access limited to authorised staff and logged?</t>
  </si>
  <si>
    <t>SRV-PHY-02</t>
  </si>
  <si>
    <t>Out-of-band management interfaces are isolated and hardened</t>
  </si>
  <si>
    <t>Are out-of-band management interfaces on a dedicated management network, patched, with default credentials changed and strong authentication enforced?</t>
  </si>
  <si>
    <t>SRV-PHY-03</t>
  </si>
  <si>
    <t>Removable media and unused ports are controlled</t>
  </si>
  <si>
    <t>Are USB and removable-media ports, unused console ports and boot-from-removable options disabled or controlled on servers?</t>
  </si>
  <si>
    <t>SRV-PHY-04</t>
  </si>
  <si>
    <t>Storage media is sanitised or destroyed before replacement and disposal</t>
  </si>
  <si>
    <t>Is media containing confidential data sanitised to a recognised standard or destroyed, with certificates retained, before leaving the organisation or being re-used?</t>
  </si>
  <si>
    <t>SRV-CFG-01</t>
  </si>
  <si>
    <t>Secure configuration baselines are defined for every server platform</t>
  </si>
  <si>
    <t>Is there an approved hardening baseline (for example CIS Benchmark level) for each server OS and role, and is it applied at build?</t>
  </si>
  <si>
    <t>SRV-CFG-02</t>
  </si>
  <si>
    <t>Configuration drift from the baseline is detected and corrected</t>
  </si>
  <si>
    <t>Is compliance with the baseline continuously or periodically assessed, with deviations tracked to closure?</t>
  </si>
  <si>
    <t>SRV-CFG-03</t>
  </si>
  <si>
    <t>Unnecessary services, roles, features and ports are disabled or removed</t>
  </si>
  <si>
    <t>Are all services, roles, features, protocols and listening ports not required by the server role disabled or removed?</t>
  </si>
  <si>
    <t>SRV-CFG-04</t>
  </si>
  <si>
    <t>An approved authorised-use banner is displayed at login</t>
  </si>
  <si>
    <t>Do servers display a legally approved authorised-use notice at console, SSH, RDP and web administration logins?</t>
  </si>
  <si>
    <t>SRV-CFG-05</t>
  </si>
  <si>
    <t>Boot chain integrity protections are enabled</t>
  </si>
  <si>
    <t>Are Secure Boot, a UEFI/BIOS administrator password, TPM-backed measured boot and restricted boot order enabled on physical and virtual servers where supported?</t>
  </si>
  <si>
    <t>SRV-CFG-06</t>
  </si>
  <si>
    <t>Server configuration changes follow documented change control</t>
  </si>
  <si>
    <t>Is there a documented change process for server configuration (request, risk review, approval, test, rollback, post-change review) and is it followed?</t>
  </si>
  <si>
    <t>SRV-CFG-07</t>
  </si>
  <si>
    <t>Only authorised software can execute or be installed on servers</t>
  </si>
  <si>
    <t>Is application allow-listing or equivalent execution control enforced on servers, and is software installation restricted to approved administrators and sources?</t>
  </si>
  <si>
    <t>SRV-PAT-01</t>
  </si>
  <si>
    <t>A documented patch management process with risk-based timelines exists</t>
  </si>
  <si>
    <t>Is there a documented patch process defining roles, schedules, severity-based timelines, testing, exceptions and coverage of OS, applications and firmware?</t>
  </si>
  <si>
    <t>SRV-PAT-02</t>
  </si>
  <si>
    <t>Patch currency is verified per server and installation failures are resolved</t>
  </si>
  <si>
    <t>Can the organisation show the current patch level per server, and are failed or pending installations detected and resolved?</t>
  </si>
  <si>
    <t>SRV-PAT-03</t>
  </si>
  <si>
    <t>Unsupported and end-of-life systems are governed through approved exceptions</t>
  </si>
  <si>
    <t>Are operating systems and applications beyond vendor support identified and either removed, isolated, or covered by a time-bound, risk-accepted exception with compensating controls?</t>
  </si>
  <si>
    <t>SRV-PAT-04</t>
  </si>
  <si>
    <t>Emergency patching exists for actively exploited and critical vulnerabilities</t>
  </si>
  <si>
    <t>Is there a tested fast-track process for actively exploited or critical vulnerabilities (including CISA KEV entries), with timelines that are measured and met?</t>
  </si>
  <si>
    <t>SRV-PAT-05</t>
  </si>
  <si>
    <t>Firmware and hypervisor layers are inventoried and patched</t>
  </si>
  <si>
    <t>Are firmware and hypervisor versions inventoried and patched on a managed cadence?</t>
  </si>
  <si>
    <t>SRV-LOG-01</t>
  </si>
  <si>
    <t>Security-relevant events are logged on every server</t>
  </si>
  <si>
    <t>Are authentication, privilege use, account and group changes, access-control changes, scheduled job and service creation, and system integrity events logged with timestamps?</t>
  </si>
  <si>
    <t>SRV-LOG-02</t>
  </si>
  <si>
    <t>Logs are forwarded in near real time to a central tamper-resistant store</t>
  </si>
  <si>
    <t>Are logs forwarded in near real time to a central, access-restricted platform, with alerts when forwarding stops or logs are cleared?</t>
  </si>
  <si>
    <t>SRV-LOG-03</t>
  </si>
  <si>
    <t>Log retention satisfies investigation and regulatory needs</t>
  </si>
  <si>
    <t>Is log retention (online and archive) defined to meet investigation and regulatory requirements, and are local log sizes sufficient to prevent early overwrite?</t>
  </si>
  <si>
    <t>SRV-LOG-04</t>
  </si>
  <si>
    <t>Sensitive data is excluded from logs and log files are protected</t>
  </si>
  <si>
    <t>Is logging configured to exclude passwords, secrets, tokens and sensitive personal data, and are log files access-restricted?</t>
  </si>
  <si>
    <t>SRV-LOG-05</t>
  </si>
  <si>
    <t>Log monitoring and alert triage run on a defined schedule and are reviewed for effectiveness</t>
  </si>
  <si>
    <t>Is there a documented, scheduled monitoring and triage process with defined detection use cases, ownership, and an effectiveness review at least monthly?</t>
  </si>
  <si>
    <t>SRV-LOG-06</t>
  </si>
  <si>
    <t>Servers use authoritative time and name-resolution sources</t>
  </si>
  <si>
    <t>Do all servers synchronise time from authoritative, resilient sources and use authorised DNS resolvers?</t>
  </si>
  <si>
    <t>SRV-HST-01</t>
  </si>
  <si>
    <t>Anti-malware or EDR is deployed, current and tamper-protected on servers</t>
  </si>
  <si>
    <t>Is anti-malware or EDR installed on all servers with real-time protection, current signatures and engine, tamper protection, and monitored alerts?</t>
  </si>
  <si>
    <t>SRV-HST-02</t>
  </si>
  <si>
    <t>A host firewall enforces default-deny inbound rules</t>
  </si>
  <si>
    <t>Is a host firewall enabled in default-deny inbound mode with rules limited to required services and management sources?</t>
  </si>
  <si>
    <t>SRV-HST-03</t>
  </si>
  <si>
    <t>Host intrusion prevention and exploit mitigations are enabled</t>
  </si>
  <si>
    <t>Are host intrusion prevention and OS exploit mitigations enabled, and mandatory in prevention mode on authentication servers (domain controllers, identity providers, RADIUS, PAM)?</t>
  </si>
  <si>
    <t>SRV-HST-04</t>
  </si>
  <si>
    <t>File and configuration integrity monitoring covers critical system paths</t>
  </si>
  <si>
    <t>Is file and configuration integrity monitoring in place for critical system files, binaries, configuration and registry paths, with alerting on unauthorised change?</t>
  </si>
  <si>
    <t>SRV-VUL-01</t>
  </si>
  <si>
    <t>Servers are hardened and vulnerability-assessed before entering production</t>
  </si>
  <si>
    <t>Is every new or rebuilt server configuration-reviewed and vulnerability-scanned before production, and are the baseline reports retained?</t>
  </si>
  <si>
    <t>SRV-VUL-02</t>
  </si>
  <si>
    <t>Servers receive recurring credentialed vulnerability scans</t>
  </si>
  <si>
    <t>Are all servers scanned with credentialed scans at a defined frequency (at least monthly, weekly for internet-facing), and are coverage gaps tracked?</t>
  </si>
  <si>
    <t>SRV-VUL-03</t>
  </si>
  <si>
    <t>Vulnerability scanning is formally authorised and scanning tools are governed</t>
  </si>
  <si>
    <t>Is scanning formally authorised, are approved scanners excluded from blocking without blanket whitelisting, and are only approved tools and operators used?</t>
  </si>
  <si>
    <t>SRV-VUL-04</t>
  </si>
  <si>
    <t>Vulnerabilities are prioritised by risk, remediated within timelines and verified by rescan</t>
  </si>
  <si>
    <t>Are vulnerabilities prioritised using severity, exploitability (CVSS, EPSS, KEV), asset criticality and exposure, with timelines enforced, exceptions approved and fixes verified by rescan?</t>
  </si>
  <si>
    <t>SRV-NET-01</t>
  </si>
  <si>
    <t>Servers are placed in segmented zones with documented and minimised network exposure</t>
  </si>
  <si>
    <t>Are servers placed in zones appropriate to function and data sensitivity, with traffic limited to documented flows, no unintended internet exposure, and safeguards for specialised or shared computing (HPC, grid) environments?</t>
  </si>
  <si>
    <t>SRV-IAM-01</t>
  </si>
  <si>
    <t>Default accounts and credentials are changed, renamed or disabled</t>
  </si>
  <si>
    <t>Have all manufacturer and default accounts and passwords been changed, renamed or disabled on operating systems, applications, databases, BMCs and appliances?</t>
  </si>
  <si>
    <t>SRV-IAM-02</t>
  </si>
  <si>
    <t>Strong authentication is enforced for all administrative and root access</t>
  </si>
  <si>
    <t>Is MFA or equivalent strong authentication (smart card, FIDO2, key-based SSH with passphrase) enforced for every administrator and root-level access?</t>
  </si>
  <si>
    <t>SRV-IAM-03</t>
  </si>
  <si>
    <t>Access to the server, applications and data follows least privilege</t>
  </si>
  <si>
    <t>Is access limited to authorised, authenticated users through role-based groups with least privilege, and without direct user permissions on resources?</t>
  </si>
  <si>
    <t>SRV-IAM-04</t>
  </si>
  <si>
    <t>Access is granted, changed and removed through a documented process with periodic review</t>
  </si>
  <si>
    <t>Is there a documented process to grant, change and remove server access (joiner, mover, leaver), with periodic recertification of privileged and sensitive access?</t>
  </si>
  <si>
    <t>SRV-IAM-05</t>
  </si>
  <si>
    <t>Generic, shared and guest interactive accounts are disabled</t>
  </si>
  <si>
    <t>Are generic, shared and guest accounts that permit interactive logon disabled, with any exception approved, attributable and logged (service accounts excluded)?</t>
  </si>
  <si>
    <t>SRV-IAM-06</t>
  </si>
  <si>
    <t>Trust relationships are identified, justified and reviewed</t>
  </si>
  <si>
    <t>Are all trust relationships (domain and forest trusts, SSH key trust, delegation, database links, service-to-service trust) identified, justified and reviewed?</t>
  </si>
  <si>
    <t>SRV-IAM-07</t>
  </si>
  <si>
    <t>Local administrator and root credentials are unique, rotated and vaulted</t>
  </si>
  <si>
    <t>Are local administrator and root credentials unique per server, automatically rotated and stored in a vault or LAPS, with access audited?</t>
  </si>
  <si>
    <t>SRV-IAM-08</t>
  </si>
  <si>
    <t>Service accounts are inventoried, owned, least-privileged and protected</t>
  </si>
  <si>
    <t>Are service accounts inventoried with owners, non-interactive, least-privileged, and using managed identities, gMSA or vaulted secrets with rotation?</t>
  </si>
  <si>
    <t>SRV-IAM-09</t>
  </si>
  <si>
    <t>Root login and privilege escalation on Linux are restricted and logged</t>
  </si>
  <si>
    <t>Is direct root login restricted, and is sudo or PAM-based escalation limited to required commands, logged and free of NOPASSWD ALL rules?</t>
  </si>
  <si>
    <t>SRV-ADM-01</t>
  </si>
  <si>
    <t>Only secure protocols are used for administration and credential transmission</t>
  </si>
  <si>
    <t>Are only encrypted, authenticated protocols used for administration (SSH, RDP with NLA/TLS, WinRM over HTTPS, HTTPS consoles), with legacy protocols disabled?</t>
  </si>
  <si>
    <t>SRV-ADM-02</t>
  </si>
  <si>
    <t>Servers are administered only from hardened administrative workstations or jump hosts</t>
  </si>
  <si>
    <t>Are servers administered only from dedicated, hardened workstations or jump hosts that meet endpoint security requirements, with direct administration from standard workstations blocked?</t>
  </si>
  <si>
    <t>SRV-BCK-01</t>
  </si>
  <si>
    <t>Operationally critical servers are covered by a defined backup scope with RPO and RTO</t>
  </si>
  <si>
    <t>Are all servers holding operationally critical data or services included in a documented backup scope with defined recovery point and recovery time objectives?</t>
  </si>
  <si>
    <t>SRV-BCK-02</t>
  </si>
  <si>
    <t>System, application and data restoration procedures are documented and accessible</t>
  </si>
  <si>
    <t>Are system, application, configuration and data restoration procedures documented, current, available offline, and aligned to BCP and DR plans?</t>
  </si>
  <si>
    <t>SRV-BCK-03</t>
  </si>
  <si>
    <t>Backups are verified and restores are tested on a defined schedule</t>
  </si>
  <si>
    <t>Are backups integrity-verified and restore-tested at least monthly for critical systems and at least annually for full DR, with results recorded?</t>
  </si>
  <si>
    <t>SRV-BCK-04</t>
  </si>
  <si>
    <t>An off-site and offline or immutable backup copy exists</t>
  </si>
  <si>
    <t>Does the backup strategy include at least one off-site copy and one offline or immutable copy protected from deletion by compromised administrator credentials?</t>
  </si>
  <si>
    <t>SRV-BCK-05</t>
  </si>
  <si>
    <t>Backups are encrypted in transit and at rest and media is handled securely</t>
  </si>
  <si>
    <t>Are backups encrypted in transit and at rest, with keys managed separately from the backup data, and is backup media handled per a media security standard?</t>
  </si>
  <si>
    <t>SRV-BCK-06</t>
  </si>
  <si>
    <t>Backup infrastructure and credentials are segregated from production administration</t>
  </si>
  <si>
    <t>Are backup servers, consoles and credentials separated from production administration through separate identities, MFA, network isolation and restricted console access?</t>
  </si>
  <si>
    <t>SRV-DAT-01</t>
  </si>
  <si>
    <t>Sensitive data on servers is encrypted at rest</t>
  </si>
  <si>
    <t>Is sensitive data encrypted at rest through full-disk, volume or database encryption, with keys protected and recoverable?</t>
  </si>
  <si>
    <t>SRV-DAT-02</t>
  </si>
  <si>
    <t>Server services use current TLS versions, strong ciphers and managed certificates</t>
  </si>
  <si>
    <t>Do services use TLS 1.2 or higher with strong cipher suites and valid, managed certificates, with SSLv3 and TLS 1.0/1.1 disabled?</t>
  </si>
  <si>
    <t>SRV-DAT-03</t>
  </si>
  <si>
    <t>File systems enforce access control and permissions on sensitive data</t>
  </si>
  <si>
    <t>Are non-removable media formatted with access-control-capable file systems (NTFS, ReFS, ext4/XFS with ACLs), with appropriate permissions and no FAT file systems for sensitive volumes?</t>
  </si>
  <si>
    <t>SRV-GOV-01</t>
  </si>
  <si>
    <t>Every server is registered in an authoritative inventory reconciled with discovery</t>
  </si>
  <si>
    <t>Is every server registered in an authoritative inventory or CMDB (owner, role, OS, criticality, location, network address, lifecycle), and is it reconciled with network discovery?</t>
  </si>
  <si>
    <t>SRV-GOV-02</t>
  </si>
  <si>
    <t>Every server has accountable owners, a criticality rating and a data classification</t>
  </si>
  <si>
    <t>Does every server have a named business owner, system administrator and application administrator approved by management, with criticality and data classification recorded and responsibilities for server-standard compliance documented?</t>
  </si>
  <si>
    <t>SRV-GOV-03</t>
  </si>
  <si>
    <t>A security review and risk assessment is completed before production and on significant change</t>
  </si>
  <si>
    <t>Is a security review and risk assessment completed for new servers and significant changes before production by an approved assessor, with residual risk accepted by the owner?</t>
  </si>
  <si>
    <t>SRV-GOV-04</t>
  </si>
  <si>
    <t>Third-party system administration and hosting are governed through contracts and access controls</t>
  </si>
  <si>
    <t>Are contracts for outsourced administration, hosting and support reviewed for security and risk clauses (access, audit rights, breach notification, subcontractors), and is third-party access controlled?</t>
  </si>
  <si>
    <t>SRV-VIR-01</t>
  </si>
  <si>
    <t>Virtualization management planes are isolated and hardened</t>
  </si>
  <si>
    <t>Are hypervisor and management interfaces (vCenter, ESXi, Hyper-V Manager/SCVMM/WAC, Proxmox GUI/API) restricted to a management network, not internet-exposed, and secured with TLS and trusted certificates?</t>
  </si>
  <si>
    <t>SRV-VIR-02</t>
  </si>
  <si>
    <t>Hypervisor administrative access uses central identity, MFA and least privilege</t>
  </si>
  <si>
    <t>Is hypervisor and management access integrated with central identity, protected by MFA, role-based with least privilege, with local root or administrator accounts vaulted and lockdown mode or equivalent enforced?</t>
  </si>
  <si>
    <t>SRV-VIR-03</t>
  </si>
  <si>
    <t>Virtual machines are built from hardened templates with controlled snapshots and devices</t>
  </si>
  <si>
    <t>Are VMs built from hardened templates with unnecessary virtual hardware removed, snapshots and checkpoints controlled, guest tools patched and VM escape surfaces minimised?</t>
  </si>
  <si>
    <t>SRV-VIR-04</t>
  </si>
  <si>
    <t>Virtual networks and storage access are segmented and restricted</t>
  </si>
  <si>
    <t>Are virtual switches, VLANs, storage networks (vMotion, iSCSI, NFS, replication) and management traffic segregated, with promiscuous mode, MAC changes and forged transmits restricted, and storage access controlled?</t>
  </si>
  <si>
    <t>SRV-VIR-05</t>
  </si>
  <si>
    <t>Hypervisor logging and ransomware resilience controls are in place</t>
  </si>
  <si>
    <t>Are hypervisor and management logs forwarded to the SIEM, shell and SSH services disabled by default, host configuration backed up, and ransomware protections (acceptance levels, execution restrictions, datastore snapshots and backups) in place?</t>
  </si>
  <si>
    <t>Evidence Workbook - Request List (PBC)</t>
  </si>
  <si>
    <t>One row per evidence item required by the control library. Send to the client, track receipt, and link received items to the Evidence_Register.</t>
  </si>
  <si>
    <t>Request ID</t>
  </si>
  <si>
    <t>Evidence Item Requested</t>
  </si>
  <si>
    <t>Date Requested</t>
  </si>
  <si>
    <t>Date Received</t>
  </si>
  <si>
    <t>Evidence ID</t>
  </si>
  <si>
    <t>ER-SRV-PHY-01-1</t>
  </si>
  <si>
    <t>Authorised access list</t>
  </si>
  <si>
    <t>Not requested</t>
  </si>
  <si>
    <t>ER-SRV-PHY-01-2</t>
  </si>
  <si>
    <t>badge and visitor logs (90 days)</t>
  </si>
  <si>
    <t>ER-SRV-PHY-01-3</t>
  </si>
  <si>
    <t>CCTV coverage evidence</t>
  </si>
  <si>
    <t>ER-SRV-PHY-01-4</t>
  </si>
  <si>
    <t>photos of rack locks</t>
  </si>
  <si>
    <t>ER-SRV-PHY-01-5</t>
  </si>
  <si>
    <t>physical security policy</t>
  </si>
  <si>
    <t>ER-SRV-PHY-01-6</t>
  </si>
  <si>
    <t>colocation contract and assurance report if hosted</t>
  </si>
  <si>
    <t>ER-SRV-PHY-02-1</t>
  </si>
  <si>
    <t>Management network diagram</t>
  </si>
  <si>
    <t>ER-SRV-PHY-02-2</t>
  </si>
  <si>
    <t>BMC inventory with firmware versions</t>
  </si>
  <si>
    <t>ER-SRV-PHY-02-3</t>
  </si>
  <si>
    <t>firewall rules for the management VLAN</t>
  </si>
  <si>
    <t>ER-SRV-PHY-02-4</t>
  </si>
  <si>
    <t>BMC user list and authentication settings</t>
  </si>
  <si>
    <t>ER-SRV-PHY-03-1</t>
  </si>
  <si>
    <t>GPO, MDM, udev or USBGuard configuration</t>
  </si>
  <si>
    <t>ER-SRV-PHY-03-2</t>
  </si>
  <si>
    <t>BIOS/UEFI boot-order settings</t>
  </si>
  <si>
    <t>ER-SRV-PHY-03-3</t>
  </si>
  <si>
    <t>media handling policy</t>
  </si>
  <si>
    <t>ER-SRV-PHY-03-4</t>
  </si>
  <si>
    <t>exception register</t>
  </si>
  <si>
    <t>ER-SRV-PHY-04-1</t>
  </si>
  <si>
    <t>Media disposal procedure</t>
  </si>
  <si>
    <t>ER-SRV-PHY-04-2</t>
  </si>
  <si>
    <t>certificates of destruction</t>
  </si>
  <si>
    <t>ER-SRV-PHY-04-3</t>
  </si>
  <si>
    <t>asset disposal log</t>
  </si>
  <si>
    <t>ER-SRV-PHY-04-4</t>
  </si>
  <si>
    <t>RMA records</t>
  </si>
  <si>
    <t>ER-SRV-PHY-04-5</t>
  </si>
  <si>
    <t>encryption-at-rest evidence for returned drives</t>
  </si>
  <si>
    <t>ER-SRV-CFG-01-1</t>
  </si>
  <si>
    <t>Baseline standard per OS</t>
  </si>
  <si>
    <t>ER-SRV-CFG-01-2</t>
  </si>
  <si>
    <t>golden image or build pipeline definitions (Packer, MDT, Ansible, Terraform)</t>
  </si>
  <si>
    <t>ER-SRV-CFG-01-3</t>
  </si>
  <si>
    <t>sample build checklist</t>
  </si>
  <si>
    <t>ER-SRV-CFG-01-4</t>
  </si>
  <si>
    <t>exceptions register</t>
  </si>
  <si>
    <t>ER-SRV-CFG-02-1</t>
  </si>
  <si>
    <t>Compliance scan reports (last 3 cycles)</t>
  </si>
  <si>
    <t>ER-SRV-CFG-02-2</t>
  </si>
  <si>
    <t>remediation tickets</t>
  </si>
  <si>
    <t>ER-SRV-CFG-02-3</t>
  </si>
  <si>
    <t>scan schedule</t>
  </si>
  <si>
    <t>ER-SRV-CFG-02-4</t>
  </si>
  <si>
    <t>compliance dashboards</t>
  </si>
  <si>
    <t>ER-SRV-CFG-03-1</t>
  </si>
  <si>
    <t>Service and role inventory per server</t>
  </si>
  <si>
    <t>ER-SRV-CFG-03-2</t>
  </si>
  <si>
    <t>listening-port list</t>
  </si>
  <si>
    <t>ER-SRV-CFG-03-3</t>
  </si>
  <si>
    <t>change records for removals</t>
  </si>
  <si>
    <t>ER-SRV-CFG-03-4</t>
  </si>
  <si>
    <t>scan results</t>
  </si>
  <si>
    <t>ER-SRV-CFG-04-1</t>
  </si>
  <si>
    <t>Legal-approved banner text</t>
  </si>
  <si>
    <t>ER-SRV-CFG-04-2</t>
  </si>
  <si>
    <t>screenshots of console, SSH and RDP logins</t>
  </si>
  <si>
    <t>ER-SRV-CFG-04-3</t>
  </si>
  <si>
    <t>GPO or sshd configuration</t>
  </si>
  <si>
    <t>ER-SRV-CFG-04-4</t>
  </si>
  <si>
    <t>exception list</t>
  </si>
  <si>
    <t>ER-SRV-CFG-05-1</t>
  </si>
  <si>
    <t>UEFI settings exports or screenshots</t>
  </si>
  <si>
    <t>ER-SRV-CFG-05-2</t>
  </si>
  <si>
    <t>Secure Boot and TPM status output</t>
  </si>
  <si>
    <t>ER-SRV-CFG-05-3</t>
  </si>
  <si>
    <t>virtual machine firmware settings</t>
  </si>
  <si>
    <t>ER-SRV-CFG-05-4</t>
  </si>
  <si>
    <t>ER-SRV-CFG-06-1</t>
  </si>
  <si>
    <t>Change management policy</t>
  </si>
  <si>
    <t>ER-SRV-CFG-06-2</t>
  </si>
  <si>
    <t>sample of 10 change tickets</t>
  </si>
  <si>
    <t>ER-SRV-CFG-06-3</t>
  </si>
  <si>
    <t>CAB minutes</t>
  </si>
  <si>
    <t>ER-SRV-CFG-06-4</t>
  </si>
  <si>
    <t>emergency change log</t>
  </si>
  <si>
    <t>ER-SRV-CFG-06-5</t>
  </si>
  <si>
    <t>configuration repository history</t>
  </si>
  <si>
    <t>ER-SRV-CFG-07-1</t>
  </si>
  <si>
    <t>AppLocker or WDAC policy export</t>
  </si>
  <si>
    <t>ER-SRV-CFG-07-2</t>
  </si>
  <si>
    <t>fapolicyd or SELinux/AppArmor configuration</t>
  </si>
  <si>
    <t>ER-SRV-CFG-07-3</t>
  </si>
  <si>
    <t>software inventory against approved list</t>
  </si>
  <si>
    <t>ER-SRV-CFG-07-4</t>
  </si>
  <si>
    <t>audit-mode results</t>
  </si>
  <si>
    <t>ER-SRV-PAT-01-1</t>
  </si>
  <si>
    <t>Patch policy or standard</t>
  </si>
  <si>
    <t>ER-SRV-PAT-01-2</t>
  </si>
  <si>
    <t>patch calendar</t>
  </si>
  <si>
    <t>ER-SRV-PAT-01-3</t>
  </si>
  <si>
    <t>timeline (SLA) table</t>
  </si>
  <si>
    <t>ER-SRV-PAT-01-4</t>
  </si>
  <si>
    <t>records from two recent patch cycles</t>
  </si>
  <si>
    <t>ER-SRV-PAT-01-5</t>
  </si>
  <si>
    <t>exception log</t>
  </si>
  <si>
    <t>ER-SRV-PAT-02-1</t>
  </si>
  <si>
    <t>Patch compliance report</t>
  </si>
  <si>
    <t>ER-SRV-PAT-02-2</t>
  </si>
  <si>
    <t>failed-installation report</t>
  </si>
  <si>
    <t>ER-SRV-PAT-02-3</t>
  </si>
  <si>
    <t>tickets for failures</t>
  </si>
  <si>
    <t>ER-SRV-PAT-02-4</t>
  </si>
  <si>
    <t>pending-reboot report</t>
  </si>
  <si>
    <t>ER-SRV-PAT-03-1</t>
  </si>
  <si>
    <t>End-of-life inventory with dates</t>
  </si>
  <si>
    <t>ER-SRV-PAT-03-2</t>
  </si>
  <si>
    <t>exception register with approvals and expiry</t>
  </si>
  <si>
    <t>ER-SRV-PAT-03-3</t>
  </si>
  <si>
    <t>compensating-control evidence</t>
  </si>
  <si>
    <t>ER-SRV-PAT-03-4</t>
  </si>
  <si>
    <t>migration roadmap</t>
  </si>
  <si>
    <t>ER-SRV-PAT-04-1</t>
  </si>
  <si>
    <t>Emergency patch procedure</t>
  </si>
  <si>
    <t>ER-SRV-PAT-04-2</t>
  </si>
  <si>
    <t>threat-intelligence or KEV subscription</t>
  </si>
  <si>
    <t>ER-SRV-PAT-04-3</t>
  </si>
  <si>
    <t>last 3 emergency events with timelines</t>
  </si>
  <si>
    <t>ER-SRV-PAT-04-4</t>
  </si>
  <si>
    <t>time-to-patch metrics</t>
  </si>
  <si>
    <t>ER-SRV-PAT-05-1</t>
  </si>
  <si>
    <t>Firmware inventory (OpenManage, iLO, Redfish)</t>
  </si>
  <si>
    <t>ER-SRV-PAT-05-2</t>
  </si>
  <si>
    <t>hypervisor build numbers versus vendor advisories</t>
  </si>
  <si>
    <t>ER-SRV-PAT-05-3</t>
  </si>
  <si>
    <t>firmware change tickets</t>
  </si>
  <si>
    <t>ER-SRV-LOG-01-1</t>
  </si>
  <si>
    <t>Audit policy export</t>
  </si>
  <si>
    <t>ER-SRV-LOG-01-2</t>
  </si>
  <si>
    <t>auditd and rsyslog configuration</t>
  </si>
  <si>
    <t>ER-SRV-LOG-01-3</t>
  </si>
  <si>
    <t>sample log events</t>
  </si>
  <si>
    <t>ER-SRV-LOG-01-4</t>
  </si>
  <si>
    <t>log source inventory</t>
  </si>
  <si>
    <t>ER-SRV-LOG-02-1</t>
  </si>
  <si>
    <t>SIEM log-source health dashboard</t>
  </si>
  <si>
    <t>ER-SRV-LOG-02-2</t>
  </si>
  <si>
    <t>forwarder configuration (WEF/WEC, Azure Monitor Agent, rsyslog, Splunk UF)</t>
  </si>
  <si>
    <t>ER-SRV-LOG-02-3</t>
  </si>
  <si>
    <t>alert rules for log clearing and silent sources</t>
  </si>
  <si>
    <t>ER-SRV-LOG-03-1</t>
  </si>
  <si>
    <t>Retention policy</t>
  </si>
  <si>
    <t>ER-SRV-LOG-03-2</t>
  </si>
  <si>
    <t>SIEM retention configuration</t>
  </si>
  <si>
    <t>ER-SRV-LOG-03-3</t>
  </si>
  <si>
    <t>local log size settings</t>
  </si>
  <si>
    <t>ER-SRV-LOG-03-4</t>
  </si>
  <si>
    <t>regulatory retention requirements</t>
  </si>
  <si>
    <t>ER-SRV-LOG-04-1</t>
  </si>
  <si>
    <t>Application logging configuration</t>
  </si>
  <si>
    <t>ER-SRV-LOG-04-2</t>
  </si>
  <si>
    <t>sample log review</t>
  </si>
  <si>
    <t>ER-SRV-LOG-04-3</t>
  </si>
  <si>
    <t>log file permission listings</t>
  </si>
  <si>
    <t>ER-SRV-LOG-04-4</t>
  </si>
  <si>
    <t>secret-scan results for log stores</t>
  </si>
  <si>
    <t>ER-SRV-LOG-05-1</t>
  </si>
  <si>
    <t>Log monitoring procedure and schedule</t>
  </si>
  <si>
    <t>ER-SRV-LOG-05-2</t>
  </si>
  <si>
    <t>server use-case catalogue</t>
  </si>
  <si>
    <t>ER-SRV-LOG-05-3</t>
  </si>
  <si>
    <t>triage records</t>
  </si>
  <si>
    <t>ER-SRV-LOG-05-4</t>
  </si>
  <si>
    <t>monthly review minutes</t>
  </si>
  <si>
    <t>ER-SRV-LOG-05-5</t>
  </si>
  <si>
    <t>detection metrics</t>
  </si>
  <si>
    <t>ER-SRV-LOG-06-1</t>
  </si>
  <si>
    <t>NTP configuration</t>
  </si>
  <si>
    <t>ER-SRV-LOG-06-2</t>
  </si>
  <si>
    <t>DNS resolver configuration</t>
  </si>
  <si>
    <t>ER-SRV-LOG-06-3</t>
  </si>
  <si>
    <t>time status output</t>
  </si>
  <si>
    <t>ER-SRV-LOG-06-4</t>
  </si>
  <si>
    <t>AD time hierarchy documentation</t>
  </si>
  <si>
    <t>ER-SRV-HST-01-1</t>
  </si>
  <si>
    <t>EDR console deployment report</t>
  </si>
  <si>
    <t>ER-SRV-HST-01-2</t>
  </si>
  <si>
    <t>coverage versus inventory</t>
  </si>
  <si>
    <t>ER-SRV-HST-01-3</t>
  </si>
  <si>
    <t>exclusion list</t>
  </si>
  <si>
    <t>ER-SRV-HST-01-4</t>
  </si>
  <si>
    <t>tamper protection setting</t>
  </si>
  <si>
    <t>ER-SRV-HST-02-1</t>
  </si>
  <si>
    <t>Firewall rule exports</t>
  </si>
  <si>
    <t>ER-SRV-HST-02-2</t>
  </si>
  <si>
    <t>GPO</t>
  </si>
  <si>
    <t>ER-SRV-HST-02-3</t>
  </si>
  <si>
    <t>nftables or firewalld configuration</t>
  </si>
  <si>
    <t>ER-SRV-HST-02-4</t>
  </si>
  <si>
    <t>rule review records</t>
  </si>
  <si>
    <t>ER-SRV-HST-03-1</t>
  </si>
  <si>
    <t>HIPS or EDR prevention policy</t>
  </si>
  <si>
    <t>ER-SRV-HST-03-2</t>
  </si>
  <si>
    <t>exploit-protection configuration</t>
  </si>
  <si>
    <t>ER-SRV-HST-03-3</t>
  </si>
  <si>
    <t>list of authentication servers with HIPS status</t>
  </si>
  <si>
    <t>ER-SRV-HST-04-1</t>
  </si>
  <si>
    <t>FIM policy and monitored paths</t>
  </si>
  <si>
    <t>ER-SRV-HST-04-2</t>
  </si>
  <si>
    <t>alert samples</t>
  </si>
  <si>
    <t>ER-SRV-HST-04-3</t>
  </si>
  <si>
    <t>baseline hash database</t>
  </si>
  <si>
    <t>ER-SRV-HST-04-4</t>
  </si>
  <si>
    <t>EDR or FIM console</t>
  </si>
  <si>
    <t>ER-SRV-VUL-01-1</t>
  </si>
  <si>
    <t>Go-live checklist</t>
  </si>
  <si>
    <t>ER-SRV-VUL-01-2</t>
  </si>
  <si>
    <t>pre-production scan and baseline compliance report</t>
  </si>
  <si>
    <t>ER-SRV-VUL-01-3</t>
  </si>
  <si>
    <t>sign-off record</t>
  </si>
  <si>
    <t>ER-SRV-VUL-01-4</t>
  </si>
  <si>
    <t>retained report archive</t>
  </si>
  <si>
    <t>ER-SRV-VUL-02-1</t>
  </si>
  <si>
    <t>Scan schedule</t>
  </si>
  <si>
    <t>ER-SRV-VUL-02-2</t>
  </si>
  <si>
    <t>coverage report versus inventory</t>
  </si>
  <si>
    <t>ER-SRV-VUL-02-3</t>
  </si>
  <si>
    <t>scan credential policy</t>
  </si>
  <si>
    <t>ER-SRV-VUL-02-4</t>
  </si>
  <si>
    <t>last 3 scan results</t>
  </si>
  <si>
    <t>ER-SRV-VUL-02-5</t>
  </si>
  <si>
    <t>authentication failure report</t>
  </si>
  <si>
    <t>ER-SRV-VUL-03-1</t>
  </si>
  <si>
    <t>Scanning authorisation or rules of engagement</t>
  </si>
  <si>
    <t>ER-SRV-VUL-03-2</t>
  </si>
  <si>
    <t>approved-tool list</t>
  </si>
  <si>
    <t>ER-SRV-VUL-03-3</t>
  </si>
  <si>
    <t>scanner service-account permissions</t>
  </si>
  <si>
    <t>ER-SRV-VUL-03-4</t>
  </si>
  <si>
    <t>security-tool allow-list rationale</t>
  </si>
  <si>
    <t>ER-SRV-VUL-03-5</t>
  </si>
  <si>
    <t>authorised operator list</t>
  </si>
  <si>
    <t>ER-SRV-VUL-04-1</t>
  </si>
  <si>
    <t>Vulnerability management standard with timelines</t>
  </si>
  <si>
    <t>ER-SRV-VUL-04-2</t>
  </si>
  <si>
    <t>aged vulnerability report</t>
  </si>
  <si>
    <t>ER-SRV-VUL-04-3</t>
  </si>
  <si>
    <t>ER-SRV-VUL-04-4</t>
  </si>
  <si>
    <t>rescan evidence</t>
  </si>
  <si>
    <t>ER-SRV-VUL-04-5</t>
  </si>
  <si>
    <t>time-to-remediate metrics</t>
  </si>
  <si>
    <t>ER-SRV-NET-01-1</t>
  </si>
  <si>
    <t>Network diagrams</t>
  </si>
  <si>
    <t>ER-SRV-NET-01-2</t>
  </si>
  <si>
    <t>firewall rule exports for server zones</t>
  </si>
  <si>
    <t>ER-SRV-NET-01-3</t>
  </si>
  <si>
    <t>data-flow documentation</t>
  </si>
  <si>
    <t>ER-SRV-NET-01-4</t>
  </si>
  <si>
    <t>external attack-surface scan</t>
  </si>
  <si>
    <t>ER-SRV-NET-01-5</t>
  </si>
  <si>
    <t>segmentation test results</t>
  </si>
  <si>
    <t>ER-SRV-NET-01-6</t>
  </si>
  <si>
    <t>list of specialised-computing participants</t>
  </si>
  <si>
    <t>ER-SRV-IAM-01-1</t>
  </si>
  <si>
    <t>Default-account review</t>
  </si>
  <si>
    <t>ER-SRV-IAM-01-2</t>
  </si>
  <si>
    <t>account listings per system</t>
  </si>
  <si>
    <t>ER-SRV-IAM-01-3</t>
  </si>
  <si>
    <t>default-credential scan results</t>
  </si>
  <si>
    <t>ER-SRV-IAM-01-4</t>
  </si>
  <si>
    <t>BMC and appliance credential rotation records</t>
  </si>
  <si>
    <t>ER-SRV-IAM-02-1</t>
  </si>
  <si>
    <t>PAM or jump host configuration</t>
  </si>
  <si>
    <t>ER-SRV-IAM-02-2</t>
  </si>
  <si>
    <t>MFA and Conditional Access policy export</t>
  </si>
  <si>
    <t>ER-SRV-IAM-02-3</t>
  </si>
  <si>
    <t>sshd configuration</t>
  </si>
  <si>
    <t>ER-SRV-IAM-02-4</t>
  </si>
  <si>
    <t>admin accounts with authentication method</t>
  </si>
  <si>
    <t>ER-SRV-IAM-02-5</t>
  </si>
  <si>
    <t>ER-SRV-IAM-03-1</t>
  </si>
  <si>
    <t>Role and group matrix</t>
  </si>
  <si>
    <t>ER-SRV-IAM-03-2</t>
  </si>
  <si>
    <t>local and domain group membership exports</t>
  </si>
  <si>
    <t>ER-SRV-IAM-03-3</t>
  </si>
  <si>
    <t>ACL listings for key data</t>
  </si>
  <si>
    <t>ER-SRV-IAM-03-4</t>
  </si>
  <si>
    <t>last access review</t>
  </si>
  <si>
    <t>ER-SRV-IAM-04-1</t>
  </si>
  <si>
    <t>Access procedure</t>
  </si>
  <si>
    <t>ER-SRV-IAM-04-2</t>
  </si>
  <si>
    <t>approved access request sample</t>
  </si>
  <si>
    <t>ER-SRV-IAM-04-3</t>
  </si>
  <si>
    <t>leaver list versus server accounts</t>
  </si>
  <si>
    <t>ER-SRV-IAM-04-4</t>
  </si>
  <si>
    <t>recertification records</t>
  </si>
  <si>
    <t>ER-SRV-IAM-05-1</t>
  </si>
  <si>
    <t>Account inventory with type classification</t>
  </si>
  <si>
    <t>ER-SRV-IAM-05-2</t>
  </si>
  <si>
    <t>exception approvals</t>
  </si>
  <si>
    <t>ER-SRV-IAM-05-3</t>
  </si>
  <si>
    <t>PAM checkout logs</t>
  </si>
  <si>
    <t>ER-SRV-IAM-06-1</t>
  </si>
  <si>
    <t>Trust inventory</t>
  </si>
  <si>
    <t>ER-SRV-IAM-06-2</t>
  </si>
  <si>
    <t>AD trust export</t>
  </si>
  <si>
    <t>ER-SRV-IAM-06-3</t>
  </si>
  <si>
    <t>authorized_keys inventory</t>
  </si>
  <si>
    <t>ER-SRV-IAM-06-4</t>
  </si>
  <si>
    <t>delegation settings</t>
  </si>
  <si>
    <t>ER-SRV-IAM-06-5</t>
  </si>
  <si>
    <t>review sign-off</t>
  </si>
  <si>
    <t>ER-SRV-IAM-07-1</t>
  </si>
  <si>
    <t>Windows LAPS policy</t>
  </si>
  <si>
    <t>ER-SRV-IAM-07-2</t>
  </si>
  <si>
    <t>AD attribute permissions</t>
  </si>
  <si>
    <t>ER-SRV-IAM-07-3</t>
  </si>
  <si>
    <t>PAM vault configuration</t>
  </si>
  <si>
    <t>ER-SRV-IAM-07-4</t>
  </si>
  <si>
    <t>rotation logs</t>
  </si>
  <si>
    <t>ER-SRV-IAM-08-1</t>
  </si>
  <si>
    <t>Service account register</t>
  </si>
  <si>
    <t>ER-SRV-IAM-08-2</t>
  </si>
  <si>
    <t>gMSA list</t>
  </si>
  <si>
    <t>ER-SRV-IAM-08-3</t>
  </si>
  <si>
    <t>SPN review</t>
  </si>
  <si>
    <t>ER-SRV-IAM-08-4</t>
  </si>
  <si>
    <t>password-age report</t>
  </si>
  <si>
    <t>ER-SRV-IAM-08-5</t>
  </si>
  <si>
    <t>vault records</t>
  </si>
  <si>
    <t>ER-SRV-IAM-09-1</t>
  </si>
  <si>
    <t>sudoers files</t>
  </si>
  <si>
    <t>ER-SRV-IAM-09-2</t>
  </si>
  <si>
    <t>ER-SRV-IAM-09-3</t>
  </si>
  <si>
    <t>PAM configuration</t>
  </si>
  <si>
    <t>ER-SRV-IAM-09-4</t>
  </si>
  <si>
    <t>sudo logs</t>
  </si>
  <si>
    <t>ER-SRV-ADM-01-1</t>
  </si>
  <si>
    <t>Protocol configuration</t>
  </si>
  <si>
    <t>ER-SRV-ADM-01-2</t>
  </si>
  <si>
    <t>listening-service inventory</t>
  </si>
  <si>
    <t>ER-SRV-ADM-01-3</t>
  </si>
  <si>
    <t>firewall rules for admin ports</t>
  </si>
  <si>
    <t>ER-SRV-ADM-01-4</t>
  </si>
  <si>
    <t>scan results showing no cleartext admin protocols</t>
  </si>
  <si>
    <t>ER-SRV-ADM-02-1</t>
  </si>
  <si>
    <t>PAW or bastion standard</t>
  </si>
  <si>
    <t>ER-SRV-ADM-02-2</t>
  </si>
  <si>
    <t>firewall rules allowing admin protocols only from jump hosts</t>
  </si>
  <si>
    <t>ER-SRV-ADM-02-3</t>
  </si>
  <si>
    <t>PAW compliance reports</t>
  </si>
  <si>
    <t>ER-SRV-ADM-02-4</t>
  </si>
  <si>
    <t>session logs</t>
  </si>
  <si>
    <t>ER-SRV-BCK-01-1</t>
  </si>
  <si>
    <t>Critical-system register with RPO/RTO</t>
  </si>
  <si>
    <t>ER-SRV-BCK-01-2</t>
  </si>
  <si>
    <t>backup job list versus server inventory</t>
  </si>
  <si>
    <t>ER-SRV-BCK-01-3</t>
  </si>
  <si>
    <t>backup success reports (30 days)</t>
  </si>
  <si>
    <t>ER-SRV-BCK-02-1</t>
  </si>
  <si>
    <t>Restoration runbooks</t>
  </si>
  <si>
    <t>ER-SRV-BCK-02-2</t>
  </si>
  <si>
    <t>DR plan</t>
  </si>
  <si>
    <t>ER-SRV-BCK-02-3</t>
  </si>
  <si>
    <t>offline copy location</t>
  </si>
  <si>
    <t>ER-SRV-BCK-02-4</t>
  </si>
  <si>
    <t>last review date</t>
  </si>
  <si>
    <t>ER-SRV-BCK-02-5</t>
  </si>
  <si>
    <t>dependency map</t>
  </si>
  <si>
    <t>ER-SRV-BCK-03-1</t>
  </si>
  <si>
    <t>Restore test reports</t>
  </si>
  <si>
    <t>ER-SRV-BCK-03-2</t>
  </si>
  <si>
    <t>backup verification logs</t>
  </si>
  <si>
    <t>ER-SRV-BCK-03-3</t>
  </si>
  <si>
    <t>DR exercise results with achieved RTO and RPO</t>
  </si>
  <si>
    <t>ER-SRV-BCK-03-4</t>
  </si>
  <si>
    <t>remediation actions</t>
  </si>
  <si>
    <t>ER-SRV-BCK-04-1</t>
  </si>
  <si>
    <t>Backup architecture diagram</t>
  </si>
  <si>
    <t>ER-SRV-BCK-04-2</t>
  </si>
  <si>
    <t>immutability and retention-lock settings</t>
  </si>
  <si>
    <t>ER-SRV-BCK-04-3</t>
  </si>
  <si>
    <t>off-site location contract</t>
  </si>
  <si>
    <t>ER-SRV-BCK-04-4</t>
  </si>
  <si>
    <t>deletion-protection configuration</t>
  </si>
  <si>
    <t>ER-SRV-BCK-05-1</t>
  </si>
  <si>
    <t>Backup job encryption settings</t>
  </si>
  <si>
    <t>ER-SRV-BCK-05-2</t>
  </si>
  <si>
    <t>key management records</t>
  </si>
  <si>
    <t>ER-SRV-BCK-05-3</t>
  </si>
  <si>
    <t>transport protocol configuration</t>
  </si>
  <si>
    <t>ER-SRV-BCK-05-4</t>
  </si>
  <si>
    <t>media handling standard</t>
  </si>
  <si>
    <t>ER-SRV-BCK-05-5</t>
  </si>
  <si>
    <t>courier and vault logs</t>
  </si>
  <si>
    <t>ER-SRV-BCK-06-1</t>
  </si>
  <si>
    <t>Backup server domain status</t>
  </si>
  <si>
    <t>ER-SRV-BCK-06-2</t>
  </si>
  <si>
    <t>admin role assignments</t>
  </si>
  <si>
    <t>ER-SRV-BCK-06-3</t>
  </si>
  <si>
    <t>MFA configuration</t>
  </si>
  <si>
    <t>ER-SRV-BCK-06-4</t>
  </si>
  <si>
    <t>firewall rules</t>
  </si>
  <si>
    <t>ER-SRV-BCK-06-5</t>
  </si>
  <si>
    <t>backup console audit logs</t>
  </si>
  <si>
    <t>ER-SRV-DAT-01-1</t>
  </si>
  <si>
    <t>BitLocker or LUKS status</t>
  </si>
  <si>
    <t>ER-SRV-DAT-01-2</t>
  </si>
  <si>
    <t>key escrow records (AD, Entra, KMS)</t>
  </si>
  <si>
    <t>ER-SRV-DAT-01-3</t>
  </si>
  <si>
    <t>database TDE settings</t>
  </si>
  <si>
    <t>ER-SRV-DAT-01-4</t>
  </si>
  <si>
    <t>virtual disk encryption</t>
  </si>
  <si>
    <t>ER-SRV-DAT-02-1</t>
  </si>
  <si>
    <t>TLS scan results</t>
  </si>
  <si>
    <t>ER-SRV-DAT-02-2</t>
  </si>
  <si>
    <t>certificate inventory with expiry dates</t>
  </si>
  <si>
    <t>ER-SRV-DAT-02-3</t>
  </si>
  <si>
    <t>SChannel or OpenSSL configuration</t>
  </si>
  <si>
    <t>ER-SRV-DAT-02-4</t>
  </si>
  <si>
    <t>cryptographic standard</t>
  </si>
  <si>
    <t>ER-SRV-DAT-03-1</t>
  </si>
  <si>
    <t>File system listing</t>
  </si>
  <si>
    <t>ER-SRV-DAT-03-2</t>
  </si>
  <si>
    <t>permission baselines</t>
  </si>
  <si>
    <t>ER-SRV-DAT-03-3</t>
  </si>
  <si>
    <t>ACL exports for sensitive paths</t>
  </si>
  <si>
    <t>ER-SRV-GOV-01-1</t>
  </si>
  <si>
    <t>CMDB export</t>
  </si>
  <si>
    <t>ER-SRV-GOV-01-2</t>
  </si>
  <si>
    <t>network discovery results</t>
  </si>
  <si>
    <t>ER-SRV-GOV-01-3</t>
  </si>
  <si>
    <t>reconciliation report</t>
  </si>
  <si>
    <t>ER-SRV-GOV-01-4</t>
  </si>
  <si>
    <t>registration procedure</t>
  </si>
  <si>
    <t>ER-SRV-GOV-02-1</t>
  </si>
  <si>
    <t>Owner and administrator register</t>
  </si>
  <si>
    <t>ER-SRV-GOV-02-2</t>
  </si>
  <si>
    <t>management approval</t>
  </si>
  <si>
    <t>ER-SRV-GOV-02-3</t>
  </si>
  <si>
    <t>criticality and classification ratings</t>
  </si>
  <si>
    <t>ER-SRV-GOV-02-4</t>
  </si>
  <si>
    <t>RACI</t>
  </si>
  <si>
    <t>ER-SRV-GOV-02-5</t>
  </si>
  <si>
    <t>list of applications with administrators</t>
  </si>
  <si>
    <t>ER-SRV-GOV-03-1</t>
  </si>
  <si>
    <t>Risk assessment reports</t>
  </si>
  <si>
    <t>ER-SRV-GOV-03-2</t>
  </si>
  <si>
    <t>reviewer qualification</t>
  </si>
  <si>
    <t>ER-SRV-GOV-03-3</t>
  </si>
  <si>
    <t>risk acceptance forms</t>
  </si>
  <si>
    <t>ER-SRV-GOV-03-4</t>
  </si>
  <si>
    <t>review schedule</t>
  </si>
  <si>
    <t>ER-SRV-GOV-04-1</t>
  </si>
  <si>
    <t>Contracts and security schedules</t>
  </si>
  <si>
    <t>ER-SRV-GOV-04-2</t>
  </si>
  <si>
    <t>vendor risk assessments</t>
  </si>
  <si>
    <t>ER-SRV-GOV-04-3</t>
  </si>
  <si>
    <t>third-party access list</t>
  </si>
  <si>
    <t>ER-SRV-GOV-04-4</t>
  </si>
  <si>
    <t>SOC 2 or ISO reports</t>
  </si>
  <si>
    <t>ER-SRV-GOV-04-5</t>
  </si>
  <si>
    <t>vendor remote-access logs</t>
  </si>
  <si>
    <t>ER-SRV-VIR-01-1</t>
  </si>
  <si>
    <t>Management network design</t>
  </si>
  <si>
    <t>ER-SRV-VIR-01-2</t>
  </si>
  <si>
    <t>ER-SRV-VIR-01-3</t>
  </si>
  <si>
    <t>external scan result</t>
  </si>
  <si>
    <t>ER-SRV-VIR-01-4</t>
  </si>
  <si>
    <t>certificate inventory</t>
  </si>
  <si>
    <t>ER-SRV-VIR-01-5</t>
  </si>
  <si>
    <t>access lists</t>
  </si>
  <si>
    <t>ER-SRV-VIR-02-1</t>
  </si>
  <si>
    <t>vCenter SSO and identity source configuration</t>
  </si>
  <si>
    <t>ER-SRV-VIR-02-2</t>
  </si>
  <si>
    <t>role and permission export</t>
  </si>
  <si>
    <t>ER-SRV-VIR-02-3</t>
  </si>
  <si>
    <t>host lockdown settings</t>
  </si>
  <si>
    <t>ER-SRV-VIR-02-4</t>
  </si>
  <si>
    <t>Proxmox realm and permission settings</t>
  </si>
  <si>
    <t>ER-SRV-VIR-02-5</t>
  </si>
  <si>
    <t>Hyper-V administrators group membership</t>
  </si>
  <si>
    <t>ER-SRV-VIR-03-1</t>
  </si>
  <si>
    <t>VM template hardening standard</t>
  </si>
  <si>
    <t>ER-SRV-VIR-03-2</t>
  </si>
  <si>
    <t>snapshot inventory</t>
  </si>
  <si>
    <t>ER-SRV-VIR-03-3</t>
  </si>
  <si>
    <t>VM hardware configuration</t>
  </si>
  <si>
    <t>ER-SRV-VIR-03-4</t>
  </si>
  <si>
    <t>guest tools versions</t>
  </si>
  <si>
    <t>ER-SRV-VIR-04-1</t>
  </si>
  <si>
    <t>Virtual network diagram</t>
  </si>
  <si>
    <t>ER-SRV-VIR-04-2</t>
  </si>
  <si>
    <t>vSwitch security policy</t>
  </si>
  <si>
    <t>ER-SRV-VIR-04-3</t>
  </si>
  <si>
    <t>storage ACLs and LUN masking</t>
  </si>
  <si>
    <t>ER-SRV-VIR-04-4</t>
  </si>
  <si>
    <t>NFS export lists</t>
  </si>
  <si>
    <t>ER-SRV-VIR-04-5</t>
  </si>
  <si>
    <t>virtual firewall rules (NSX, Hyper-V extended ACLs, Proxmox SDN)</t>
  </si>
  <si>
    <t>ER-SRV-VIR-05-1</t>
  </si>
  <si>
    <t>Syslog configuration</t>
  </si>
  <si>
    <t>ER-SRV-VIR-05-2</t>
  </si>
  <si>
    <t>SIEM source health</t>
  </si>
  <si>
    <t>ER-SRV-VIR-05-3</t>
  </si>
  <si>
    <t>ESXi service status</t>
  </si>
  <si>
    <t>ER-SRV-VIR-05-4</t>
  </si>
  <si>
    <t>configuration backups</t>
  </si>
  <si>
    <t>ER-SRV-VIR-05-5</t>
  </si>
  <si>
    <t>vendor hardening guide compliance</t>
  </si>
  <si>
    <t>Evidence Register</t>
  </si>
  <si>
    <t>Row 5 is an example. Enter evidence from row 6. Control name looks up from the Assessment sheet.</t>
  </si>
  <si>
    <t>Evidence Type</t>
  </si>
  <si>
    <t>Description</t>
  </si>
  <si>
    <t>Source System / Asset</t>
  </si>
  <si>
    <t>Collection Method</t>
  </si>
  <si>
    <t>Collected By</t>
  </si>
  <si>
    <t>Date Collected</t>
  </si>
  <si>
    <t>Storage Location / Link</t>
  </si>
  <si>
    <t>SHA-256 (optional)</t>
  </si>
  <si>
    <t>Review Status</t>
  </si>
  <si>
    <t>Confidentiality</t>
  </si>
  <si>
    <t>EXAMPLE</t>
  </si>
  <si>
    <t>Screenshot</t>
  </si>
  <si>
    <t>SIEM log-source health dashboard showing last-seen time per server</t>
  </si>
  <si>
    <t>Splunk</t>
  </si>
  <si>
    <t>Manual</t>
  </si>
  <si>
    <t>A. Assessor</t>
  </si>
  <si>
    <t>Evidence/SRV-LOG-02/siem_health.png</t>
  </si>
  <si>
    <t>B. Reviewer</t>
  </si>
  <si>
    <t>Accepted</t>
  </si>
  <si>
    <t>Confidential</t>
  </si>
  <si>
    <t>Findings Register</t>
  </si>
  <si>
    <t>Row 5 is an example. Enter findings from row 6. Open = Open or In Progress. Overdue is calculated from the due date.</t>
  </si>
  <si>
    <t>Finding ID</t>
  </si>
  <si>
    <t>Finding</t>
  </si>
  <si>
    <t>Recommendation</t>
  </si>
  <si>
    <t>Owner</t>
  </si>
  <si>
    <t>Due Date</t>
  </si>
  <si>
    <t>Date Raised</t>
  </si>
  <si>
    <t>Days Open</t>
  </si>
  <si>
    <t>Overdue?</t>
  </si>
  <si>
    <t>Only 60% of servers forward logs to the SIEM and no alert exists for cleared Security logs.</t>
  </si>
  <si>
    <t>EV-001</t>
  </si>
  <si>
    <t>Deploy forwarders to all servers and create alerts for silent sources and event 1102.</t>
  </si>
  <si>
    <t>Infrastructure Lead</t>
  </si>
  <si>
    <t>Open</t>
  </si>
  <si>
    <t>Risk Register</t>
  </si>
  <si>
    <t>Row 5 is an example. Enter risks from row 6. Residual risk uses the assessed maturity of the linked control.</t>
  </si>
  <si>
    <t>Risk ID</t>
  </si>
  <si>
    <t>Linked Finding ID</t>
  </si>
  <si>
    <t>Finding / Risk Description</t>
  </si>
  <si>
    <t>Likelihood (1-5)</t>
  </si>
  <si>
    <t>Impact (1-5)</t>
  </si>
  <si>
    <t>Risk Score</t>
  </si>
  <si>
    <t>Rating</t>
  </si>
  <si>
    <t>Treatment</t>
  </si>
  <si>
    <t>Control Maturity</t>
  </si>
  <si>
    <t>Target Date</t>
  </si>
  <si>
    <t>Business Impact</t>
  </si>
  <si>
    <t>Intrusions on unforwarded servers could go undetected and evidence could be erased.</t>
  </si>
  <si>
    <t>Mitigate</t>
  </si>
  <si>
    <t>Regulatory</t>
  </si>
  <si>
    <t>Remediation Tracker</t>
  </si>
  <si>
    <t>Row 5 is an example. Enter actions from row 6. RAG is calculated from due date and status.</t>
  </si>
  <si>
    <t>Action ID</t>
  </si>
  <si>
    <t>Remediation Action</t>
  </si>
  <si>
    <t>Priority</t>
  </si>
  <si>
    <t>Start Date</t>
  </si>
  <si>
    <t>% Complete</t>
  </si>
  <si>
    <t>Days to Due</t>
  </si>
  <si>
    <t>RAG</t>
  </si>
  <si>
    <t>Verification Evidence ID</t>
  </si>
  <si>
    <t>Roll out log forwarder to remaining servers; create silent-source and log-cleared alerts.</t>
  </si>
  <si>
    <t>P2 - High</t>
  </si>
  <si>
    <t>In Progress</t>
  </si>
  <si>
    <t>Crown Jewel Assessment</t>
  </si>
  <si>
    <t>Identify critical assets, their business dependencies and high-value targets. Row 5 is an example. Criticality = highest of C, I, A.</t>
  </si>
  <si>
    <t>ID</t>
  </si>
  <si>
    <t>Crown Jewel (asset / service / data)</t>
  </si>
  <si>
    <t>Business Process Supported</t>
  </si>
  <si>
    <t>Business Owner</t>
  </si>
  <si>
    <t>Data Classification</t>
  </si>
  <si>
    <t>C (1-5)</t>
  </si>
  <si>
    <t>I (1-5)</t>
  </si>
  <si>
    <t>A (1-5)</t>
  </si>
  <si>
    <t>Criticality</t>
  </si>
  <si>
    <t>RTO</t>
  </si>
  <si>
    <t>RPO</t>
  </si>
  <si>
    <t>Upstream Dependencies</t>
  </si>
  <si>
    <t>Downstream Dependencies</t>
  </si>
  <si>
    <t>Hosting / Platforms</t>
  </si>
  <si>
    <t>High-Value Target?</t>
  </si>
  <si>
    <t>Linked Control IDs / Domains</t>
  </si>
  <si>
    <t>Core banking database cluster</t>
  </si>
  <si>
    <t>Payments and account management</t>
  </si>
  <si>
    <t>Head of Retail Ops</t>
  </si>
  <si>
    <t>Restricted</t>
  </si>
  <si>
    <t>4h</t>
  </si>
  <si>
    <t>15m</t>
  </si>
  <si>
    <t>Active Directory, DNS, SAN storage</t>
  </si>
  <si>
    <t>Mobile banking, ATM switch</t>
  </si>
  <si>
    <t>VMware, SQL Server</t>
  </si>
  <si>
    <t>SRV-BCK-04, SRV-IAM-07</t>
  </si>
  <si>
    <t>Attack Path Review</t>
  </si>
  <si>
    <t>Document realistic paths to crown jewels (External, Internal, Cloud, Identity, Supply Chain). Row 5 is an example.</t>
  </si>
  <si>
    <t>Path ID</t>
  </si>
  <si>
    <t>Category</t>
  </si>
  <si>
    <t>Target Crown Jewel ID</t>
  </si>
  <si>
    <t>Entry Point</t>
  </si>
  <si>
    <t>Attack Path Narrative (steps)</t>
  </si>
  <si>
    <t>ATT&amp;CK Techniques</t>
  </si>
  <si>
    <t>Enabling Weaknesses (Control / Finding IDs)</t>
  </si>
  <si>
    <t>Existing Detection</t>
  </si>
  <si>
    <t>Path Risk Score</t>
  </si>
  <si>
    <t>Recommended Chokepoints</t>
  </si>
  <si>
    <t>Identity</t>
  </si>
  <si>
    <t>Phished helpdesk account</t>
  </si>
  <si>
    <t>1) Phish helpdesk user. 2) Reuse shared local admin password across servers. 3) Reach backup server joined to production domain. 4) Delete restore points and deploy ransomware.</t>
  </si>
  <si>
    <t>T1078, T1550, T1490, T1486</t>
  </si>
  <si>
    <t>SRV-IAM-07, SRV-BCK-06, SRV-BCK-04</t>
  </si>
  <si>
    <t>EDR alerts only on final stage</t>
  </si>
  <si>
    <t>Deploy LAPS; isolate backup identity plane; add immutable copy.</t>
  </si>
  <si>
    <t>CISO</t>
  </si>
  <si>
    <t>Master Control Library</t>
  </si>
  <si>
    <t>60 controls. Source of truth is the YAML library; this sheet is generated. Do not edit here - edit the YAML and rebuild.</t>
  </si>
  <si>
    <t>Objective</t>
  </si>
  <si>
    <t>Business Justification</t>
  </si>
  <si>
    <t>Threat Prevented</t>
  </si>
  <si>
    <t>Control Type</t>
  </si>
  <si>
    <t>Evidence Required</t>
  </si>
  <si>
    <t>Validation Procedure</t>
  </si>
  <si>
    <t>Interview</t>
  </si>
  <si>
    <t>Document Review</t>
  </si>
  <si>
    <t>Configuration Review</t>
  </si>
  <si>
    <t>Observation</t>
  </si>
  <si>
    <t>Technical Validation</t>
  </si>
  <si>
    <t>Automated Validation</t>
  </si>
  <si>
    <t>Penetration Validation</t>
  </si>
  <si>
    <t>Automation Possibility</t>
  </si>
  <si>
    <t>Automation Method</t>
  </si>
  <si>
    <t>Default Likelihood (1-5)</t>
  </si>
  <si>
    <t>Default Impact (1-5)</t>
  </si>
  <si>
    <t>Risk Rating</t>
  </si>
  <si>
    <t>Criticality Weight (1-3)</t>
  </si>
  <si>
    <t>Maturity Anchor L1 (Initial)</t>
  </si>
  <si>
    <t>Maturity Anchor L3 (Defined)</t>
  </si>
  <si>
    <t>Maturity Anchor L5 (Optimized)</t>
  </si>
  <si>
    <t>Remediation Guidance</t>
  </si>
  <si>
    <t>References</t>
  </si>
  <si>
    <t>Framework Mapping (summary)</t>
  </si>
  <si>
    <t>Checklist Origin</t>
  </si>
  <si>
    <t>Prevent unauthorised physical access to server hardware, consoles and storage.</t>
  </si>
  <si>
    <t>Physical access bypasses most logical controls and can lead to data theft, tampering or prolonged outage.</t>
  </si>
  <si>
    <t>Hardware tampering, console and boot-media attacks, drive theft, rogue device insertion.</t>
  </si>
  <si>
    <t>Preventive</t>
  </si>
  <si>
    <t>- Authorised access list
- badge and visitor logs (90 days)
- CCTV coverage evidence
- photos of rack locks
- physical security policy
- colocation contract and assurance report if hosted</t>
  </si>
  <si>
    <t>1. Interview the facilities owner and obtain the authorised-access list.
2. Walk the server room: check rack locks, door controls, cameras and visitor escort practice.
3. Sample 10 names on the list against HR leavers and job roles; review badge logs for after-hours entry.
4. For hosted or colocation sites, obtain the provider SOC 2 Type II or ISO 27001 certificate and confirm physical controls are in scope.</t>
  </si>
  <si>
    <t>●</t>
  </si>
  <si>
    <t>Badge-system export compared with the HR leaver list (CSV reconciliation).</t>
  </si>
  <si>
    <t>Servers sit in open or shared areas; access is ad hoc and unlogged.</t>
  </si>
  <si>
    <t>Locked room or racks, documented access list, logs retained and reviewed annually.</t>
  </si>
  <si>
    <t>Multi-factor physical entry, CCTV with retention, quarterly access recertification, automated leaver revocation and anomaly alerts.</t>
  </si>
  <si>
    <t>Move servers into locked racks or rooms, define the authorised list, enable badge logging and CCTV, and recertify access at least quarterly for sensitive sites.</t>
  </si>
  <si>
    <t>NIST SP 800-53 Rev.5 PE family; ISO/IEC 27002:2022 clause 7; NIST SP 800-88 Rev.1 (media sanitization); vendor hardware hardening guides</t>
  </si>
  <si>
    <t>ISO 27001:2022 A.7.1, A.7.2, A.7.4, A.7.6; NIST CSF 2.0 PR.AA-06; CIS v8.1 N/A; SOC 2 CC6.4</t>
  </si>
  <si>
    <t>1.1</t>
  </si>
  <si>
    <t>Ensure BMC, iDRAC, iLO, IPMI and KVM-over-IP interfaces cannot be used to take over servers.</t>
  </si>
  <si>
    <t>A compromised BMC gives console, power and virtual-media control that sits below the operating system and its security tooling.</t>
  </si>
  <si>
    <t>BMC firmware and IPMI protocol exploitation, default credentials, firmware implants, remote console takeover.</t>
  </si>
  <si>
    <t>- Management network diagram
- BMC inventory with firmware versions
- firewall rules for the management VLAN
- BMC user list and authentication settings</t>
  </si>
  <si>
    <t>From an authorised host on the management VLAN, discover IPMI exposure with `nmap -sU -p 623 --script ipmi-version &lt;mgmt-subnet&gt;` and confirm IPMI-over-LAN is disabled or restricted.
Review BMC accounts, TLS certificate and firmware date in the web console or via Redfish (`curl -k -u &lt;user&gt; https://&lt;bmc&gt;/redfish/v1/Managers`).
Confirm the BMC subnet is unreachable from user and internet segments (`nc -vz &lt;bmc-ip&gt; 443` from a user VLAN should fail).</t>
  </si>
  <si>
    <t>Redfish API inventory of firmware versions and accounts; vendor tools (OpenManage, iLO RESTful API).</t>
  </si>
  <si>
    <t>BMCs reachable from the production LAN with default credentials.</t>
  </si>
  <si>
    <t>Dedicated management VLAN, unique credentials, firmware versions tracked.</t>
  </si>
  <si>
    <t>Access only via MFA jump host, Redfish-driven firmware compliance, IPMI-over-LAN disabled, BMC configuration baselined and monitored.</t>
  </si>
  <si>
    <t>Move BMCs to an isolated management network, change all default credentials, disable IPMI-over-LAN or restrict it, patch firmware, and require access through a hardened jump host.</t>
  </si>
  <si>
    <t>ISO 27001:2022 A.8.9, A.8.20, A.8.22; NIST CSF 2.0 PR.IR-01, PR.PS-01; CIS v8.1 4.6, 12.2; SOC 2 CC6.1, CC6.6</t>
  </si>
  <si>
    <t>New</t>
  </si>
  <si>
    <t>Reduce the risk of malware introduction and data removal through USB, optical, serial and console ports.</t>
  </si>
  <si>
    <t>Removable media remains a path for malware delivery and unmonitored data exfiltration from servers.</t>
  </si>
  <si>
    <t>Malware via removable media, boot from unauthorised media, data exfiltration.</t>
  </si>
  <si>
    <t>- GPO, MDM, udev or USBGuard configuration
- BIOS/UEFI boot-order settings
- media handling policy
- exception register</t>
  </si>
  <si>
    <t>Windows: `reg query HKLM\SYSTEM\CurrentControlSet\Services\USBSTOR /v Start` (value 4 means disabled) and review the GPO "Removable Storage Access".
Linux: `lsmod | grep usb_storage`, `systemctl status usbguard`, `grep -r usb-storage /etc/modprobe.d/`.
Review UEFI boot order and boot-device password settings for a sample of physical servers.</t>
  </si>
  <si>
    <t>GPO or Intune export; Ansible or OpenSCAP check for a blacklisted usb-storage module.</t>
  </si>
  <si>
    <t>Ports and boot options are open on all servers.</t>
  </si>
  <si>
    <t>Removable storage blocked by policy, boot order locked, exceptions approved.</t>
  </si>
  <si>
    <t>Device control enforced by EDR with alerts on blocked attempts, quarterly exception review.</t>
  </si>
  <si>
    <t>Block removable storage by policy, lock boot order with a firmware password, and use EDR device control with alerting where USB access is needed.</t>
  </si>
  <si>
    <t>ISO 27001:2022 A.7.10, A.8.9; NIST CSF 2.0 PR.PS-01; CIS v8.1 4.8, 10.3; SOC 2 CC6.7</t>
  </si>
  <si>
    <t>Ensure data cannot be recovered from storage devices that are replaced, returned, re-used or retired.</t>
  </si>
  <si>
    <t>Discarded drives and vendor returns are a recurring source of confidential data exposure and regulatory breaches.</t>
  </si>
  <si>
    <t>Data recovery from discarded drives, leakage through vendor RMA returns.</t>
  </si>
  <si>
    <t>- Media disposal procedure
- certificates of destruction
- asset disposal log
- RMA records
- encryption-at-rest evidence for returned drives</t>
  </si>
  <si>
    <t>Sample 5 retired or RMA-returned servers from the asset register and trace each to a sanitisation record or destruction certificate.
Confirm the sanitisation method meets NIST SP 800-88 (clear, purge or destroy) and that crypto-erase is evidenced where self-encrypting drives are used.
Review vendor contracts for media retention or "keep your drive" clauses.</t>
  </si>
  <si>
    <t>ITAM workflow that blocks asset closure without an attached sanitisation certificate.</t>
  </si>
  <si>
    <t>Drives are discarded or returned without a defined process.</t>
  </si>
  <si>
    <t>Documented sanitisation standard, certificates retained for most disposals.</t>
  </si>
  <si>
    <t>Full-disk encryption plus crypto-erase on every retirement, automated closure checks, periodic vendor audits.</t>
  </si>
  <si>
    <t>Adopt a media sanitisation standard aligned to NIST SP 800-88, require certificates for every disposal, and add contract clauses for vendor-held media.</t>
  </si>
  <si>
    <t>ISO 27001:2022 A.7.14, A.7.10, A.8.10; NIST CSF 2.0 ID.AM-08, PR.DS-01; CIS v8.1 3.5; SOC 2 CC6.5</t>
  </si>
  <si>
    <t>11.1</t>
  </si>
  <si>
    <t>Ensure servers are built to an approved, hardened and documented configuration.</t>
  </si>
  <si>
    <t>Insecure defaults and inconsistent builds are a leading cause of avoidable compromise and audit findings.</t>
  </si>
  <si>
    <t>Exploitation of insecure defaults and misconfiguration.</t>
  </si>
  <si>
    <t>- Baseline standard per OS
- golden image or build pipeline definitions (Packer, MDT, Ansible, Terraform)
- sample build checklist
- exceptions register</t>
  </si>
  <si>
    <t>Obtain baselines and confirm they track a current CIS Benchmark or Microsoft security baseline version.
Sample 5 servers and measure compliance. Windows: Microsoft Security Compliance Toolkit (Policy Analyzer) or CIS-CAT. Linux: `oscap xccdf eval --profile &lt;cis-profile&gt; --report out.html &lt;ssg-datastream&gt;` or `lynis audit system`.
Record the percentage of controls passed and review the exceptions register for approval and expiry.</t>
  </si>
  <si>
    <t>OpenSCAP, CIS-CAT or Lynis scheduled scans; Microsoft Defender for Cloud or Intune configuration assessment; Ansible check mode.</t>
  </si>
  <si>
    <t>Servers are built manually from the vendor defaults.</t>
  </si>
  <si>
    <t>Documented baselines per platform applied through build scripts, exceptions approved.</t>
  </si>
  <si>
    <t>Baselines versioned as code, continuously assessed with automated compliance scoring, drift auto-remediated.</t>
  </si>
  <si>
    <t>Adopt a CIS or vendor baseline per platform, encode it in build automation, and track exceptions with expiry dates.</t>
  </si>
  <si>
    <t>CIS Benchmarks (Windows Server, RHEL, Ubuntu); Microsoft Security Baselines; DISA STIGs; NIST SP 800-123; NIST SP 800-70</t>
  </si>
  <si>
    <t>ISO 27001:2022 A.8.9; NIST CSF 2.0 PR.PS-01; CIS v8.1 4.1; SOC 2 CC5.2, CC7.1</t>
  </si>
  <si>
    <t>Detect and remediate deviations from approved configurations in a timely way.</t>
  </si>
  <si>
    <t>Unmanaged drift silently erodes hardening and can mask malicious modification.</t>
  </si>
  <si>
    <t>Gradual misconfiguration, unauthorised changes, attacker persistence settings left unnoticed.</t>
  </si>
  <si>
    <t>Detective</t>
  </si>
  <si>
    <t>- Compliance scan reports (last 3 cycles)
- remediation tickets
- scan schedule
- compliance dashboards</t>
  </si>
  <si>
    <t>Obtain the latest compliance scan and trend. Windows: `Get-DscConfigurationStatus` if DSC is used, or the Intune and Defender for Endpoint secure configuration export. Linux: `ansible-playbook site.yml --check --diff` or `aide --check`.
Select 3 failed items and verify each has an owner, a ticket and a remediation date.</t>
  </si>
  <si>
    <t>Scheduled OpenSCAP, Ansible check mode, Intune compliance reports, Defender for Cloud recommendations.</t>
  </si>
  <si>
    <t>No drift checks; configuration is reviewed only after incidents.</t>
  </si>
  <si>
    <t>Periodic compliance scans with tracked remediation.</t>
  </si>
  <si>
    <t>Continuous drift detection with automatic reversion and compliance trend reporting to management.</t>
  </si>
  <si>
    <t>Schedule automated baseline scans, route failures to owners via tickets, and auto-remediate low-risk drift.</t>
  </si>
  <si>
    <t>ISO 27001:2022 A.8.9, A.8.16; NIST CSF 2.0 PR.PS-01, DE.CM-09; CIS v8.1 4.1; SOC 2 CC7.1</t>
  </si>
  <si>
    <t>Minimise attack surface by running only what each server role requires.</t>
  </si>
  <si>
    <t>Every unneeded service is an additional vulnerability and monitoring burden.</t>
  </si>
  <si>
    <t>Exploitation of unused or legacy services (SMBv1, telnet, FTP, print spooler on non-print servers).</t>
  </si>
  <si>
    <t>- Service and role inventory per server
- listening-port list
- change records for removals
- scan results</t>
  </si>
  <si>
    <t>Windows: `Get-WindowsFeature | where Installed`, `Get-Service | where Status -eq Running`, `Get-NetTCPConnection -State Listen`, `Get-SmbServerConfiguration | select EnableSMB1Protocol`.
Linux: `systemctl list-unit-files --state=enabled`, `ss -tulpn`, and check for telnet, rsh and ftp packages with `rpm -qa` or `dpkg -l`.
Compare results with the documented role requirement and record unexplained services.</t>
  </si>
  <si>
    <t>osquery (listening_ports, services tables), Ansible facts, scheduled Nmap scans.</t>
  </si>
  <si>
    <t>Default installs with all services enabled.</t>
  </si>
  <si>
    <t>Role-based builds with documented service lists; periodic review.</t>
  </si>
  <si>
    <t>Minimal images, automated detection of unauthorised services and ports with alerts.</t>
  </si>
  <si>
    <t>Build from minimal images, remove or disable unneeded services, and alert on newly listening ports.</t>
  </si>
  <si>
    <t>ISO 27001:2022 A.8.9, A.8.19; NIST CSF 2.0 PR.PS-01; CIS v8.1 4.8; SOC 2 CC6.1, CC6.6</t>
  </si>
  <si>
    <t>4.3</t>
  </si>
  <si>
    <t>Establish a legal notice of authorised use at every administrative login interface.</t>
  </si>
  <si>
    <t>A banner supports lawful monitoring and enforcement and is commonly required by regulators and insurers.</t>
  </si>
  <si>
    <t>Disputed unauthorised-access enforcement and claims of implied consent.</t>
  </si>
  <si>
    <t>- Legal-approved banner text
- screenshots of console, SSH and RDP logins
- GPO or sshd configuration
- exception list</t>
  </si>
  <si>
    <t>Windows: `reg query "HKLM\SOFTWARE\Microsoft\Windows\CurrentVersion\Policies\System" /v legalnoticetext`.
Linux: `sshd -T | grep -i banner` and `cat /etc/issue /etc/issue.net`.
Attempt a login to confirm the banner appears and record any interface where it is technically impossible.</t>
  </si>
  <si>
    <t>GPO export or Ansible lineinfile check.</t>
  </si>
  <si>
    <t>No banner configured.</t>
  </si>
  <si>
    <t>Legal-approved banner deployed to all administrative interfaces.</t>
  </si>
  <si>
    <t>Banner enforced as code with drift alerts and annual legal review.</t>
  </si>
  <si>
    <t>Obtain legal-approved wording and deploy it by GPO or configuration management to all login interfaces.</t>
  </si>
  <si>
    <t>ISO 27001:2022 A.5.10, A.8.5; NIST CSF 2.0 GV.PO-01; CIS v8.1 N/A; SOC 2 CC6.1</t>
  </si>
  <si>
    <t>1.4</t>
  </si>
  <si>
    <t>Ensure the server only boots trusted firmware and operating system components.</t>
  </si>
  <si>
    <t>Bootkits and firmware implants survive reinstallation and evade operating-system security tools.</t>
  </si>
  <si>
    <t>Bootkits, firmware implants, boot from unauthorised media.</t>
  </si>
  <si>
    <t>- UEFI settings exports or screenshots
- Secure Boot and TPM status output
- virtual machine firmware settings
- exception list</t>
  </si>
  <si>
    <t>Windows: `Confirm-SecureBootUEFI`, `Get-Tpm`, and msinfo32 (BIOS Mode UEFI, Secure Boot State On).
Linux: `mokutil --sb-state`, `ls /sys/firmware/efi`, and `tpm2_pcrread` where tpm2-tools is installed.
Hyper-V guests: `Get-VMFirmware -VMName &lt;vm&gt; | select SecureBoot`. List legacy-BIOS machines as exceptions.</t>
  </si>
  <si>
    <t>Defender for Endpoint or Intune device health attestation; osquery secureboot table; Redfish BIOS attributes.</t>
  </si>
  <si>
    <t>Legacy BIOS boot with no firmware protection.</t>
  </si>
  <si>
    <t>Secure Boot and firmware password on most servers, exceptions documented.</t>
  </si>
  <si>
    <t>Measured boot with remote attestation and firmware settings monitored for change.</t>
  </si>
  <si>
    <t>Convert to UEFI, enable Secure Boot and TPM, set firmware passwords, and restrict boot devices.</t>
  </si>
  <si>
    <t>ISO 27001:2022 A.8.9; NIST CSF 2.0 PR.PS-01, PR.DS-06; CIS v8.1 4.1; SOC 2 CC6.8</t>
  </si>
  <si>
    <t>4.1, 4.7</t>
  </si>
  <si>
    <t>Ensure changes are assessed, approved, tested and traceable.</t>
  </si>
  <si>
    <t>Uncontrolled change causes outages and security regressions, and obscures malicious modification.</t>
  </si>
  <si>
    <t>Unauthorised or untested changes, concealed malicious changes.</t>
  </si>
  <si>
    <t>- Change management policy
- sample of 10 change tickets
- CAB minutes
- emergency change log
- configuration repository history</t>
  </si>
  <si>
    <t>Sample 10 recent system changes from the configuration repository or logs and trace each to an approved ticket (target 90% match or better).
Windows: `Get-WinEvent -FilterHashtable @{LogName='Security';Id=4719}` (audit policy changes). Linux: `ausearch -k config_change`, `dnf history` or `/var/log/dpkg.log`.
Review emergency changes for after-the-fact approval.</t>
  </si>
  <si>
    <t>ITSM-to-CMDB reconciliation; Ansible Tower/AWX job logs; mandatory ticket reference in Git commits.</t>
  </si>
  <si>
    <t>Changes made ad hoc by administrators.</t>
  </si>
  <si>
    <t>Documented process with approval and testing; sampled evidence of compliance.</t>
  </si>
  <si>
    <t>Pipeline-enforced change with automatic ticket linkage, metrics, and unauthorised-change alerting.</t>
  </si>
  <si>
    <t>Implement a change process with risk-based approval, rollback plans and automated reconciliation of detected changes to tickets.</t>
  </si>
  <si>
    <t>ISO 27001:2022 A.8.32, A.8.9; NIST CSF 2.0 PR.PS-01; CIS v8.1 4.1; SOC 2 CC8.1</t>
  </si>
  <si>
    <t>4.2</t>
  </si>
  <si>
    <t>Prevent execution of unapproved binaries and scripts.</t>
  </si>
  <si>
    <t>Application allow-listing blocks the majority of commodity malware and living-off-the-land tooling.</t>
  </si>
  <si>
    <t>Ransomware and malware execution, attacker tooling, unauthorised software.</t>
  </si>
  <si>
    <t>- AppLocker or WDAC policy export
- fapolicyd or SELinux/AppArmor configuration
- software inventory against approved list
- audit-mode results</t>
  </si>
  <si>
    <t>Windows: `Get-AppLockerPolicy -Effective -Xml` and `Get-CimInstance -ClassName Win32_DeviceGuard -Namespace root\Microsoft\Windows\DeviceGuard` (code integrity enforcement status).
Linux: `systemctl status fapolicyd`, `getenforce` or `aa-status`.
Compare the software inventory with the approved list and confirm policies are in enforce mode, not audit.</t>
  </si>
  <si>
    <t>Intune or GPO policy export; osquery programs table; EDR application control reports.</t>
  </si>
  <si>
    <t>Any software can be installed or run.</t>
  </si>
  <si>
    <t>Allow-listing enforced for critical servers, installs restricted.</t>
  </si>
  <si>
    <t>Enforced allow-listing on all servers with managed exception workflow and violation alerting.</t>
  </si>
  <si>
    <t>Deploy WDAC/AppLocker or fapolicyd in audit mode, tune, then enforce; restrict installation rights.</t>
  </si>
  <si>
    <t>ISO 27001:2022 A.8.19, A.8.7; NIST CSF 2.0 PR.PS-05; CIS v8.1 2.3, 2.5; SOC 2 CC6.8</t>
  </si>
  <si>
    <t>Ensure operating systems, applications and firmware are patched within defined timeframes.</t>
  </si>
  <si>
    <t>Known unpatched vulnerabilities remain the most common route to server compromise and ransomware.</t>
  </si>
  <si>
    <t>Exploitation of known vulnerabilities.</t>
  </si>
  <si>
    <t>- Patch policy or standard
- patch calendar
- timeline (SLA) table
- records from two recent patch cycles
- exception log</t>
  </si>
  <si>
    <t>Review the policy for timelines by severity and exploitation status, and for coverage of third-party applications, firmware and hypervisors.
Sample the last two patch cycles: scope versus asset inventory, approvals, test evidence and deployment rate.
Confirm where the process is documented and who owns it.</t>
  </si>
  <si>
    <t>WSUS, Intune, Update Manager or Red Hat Satellite compliance exports via API.</t>
  </si>
  <si>
    <t>Patching is ad hoc and left to individual administrators.</t>
  </si>
  <si>
    <t>Documented process and calendar, timelines defined, most servers patched in time.</t>
  </si>
  <si>
    <t>Automated patching with measured timelines, exception governance and threat-led acceleration.</t>
  </si>
  <si>
    <t>Define severity and exploitability-based patch timelines, assign ownership, and automate deployment with compliance reporting.</t>
  </si>
  <si>
    <t>NIST SP 800-40 Rev.4; CISA Known Exploited Vulnerabilities catalog; vendor lifecycle and support policies</t>
  </si>
  <si>
    <t>ISO 27001:2022 A.8.8, A.5.37; NIST CSF 2.0 ID.RA-01, PR.PS-02; CIS v8.1 7.3, 7.4; SOC 2 CC7.1</t>
  </si>
  <si>
    <t>2.1, 2.3, 2.4</t>
  </si>
  <si>
    <t>Know the real patch level of each server and detect failed or pending installations.</t>
  </si>
  <si>
    <t>Reported patch compliance often overstates reality when failures and pending reboots go unnoticed.</t>
  </si>
  <si>
    <t>Unpatched systems believed to be compliant.</t>
  </si>
  <si>
    <t>- Patch compliance report
- failed-installation report
- tickets for failures
- pending-reboot report</t>
  </si>
  <si>
    <t>Windows: `Get-HotFix | sort InstalledOn -Descending | select -First 10`; pending reboot via registry key `HKLM:\SOFTWARE\Microsoft\Windows\CurrentVersion\Component Based Servicing\RebootPending`.
Linux: `apt list --upgradable` or `dnf updateinfo list security`; `needs-restarting -r` or `/var/run/reboot-required`.
Compare results with the console report and timelines; sample failed installs against tickets.</t>
  </si>
  <si>
    <t>Patch console exports, Defender TVM, Nessus credentialed patch audit plugins.</t>
  </si>
  <si>
    <t>Patch level is unknown outside manual checks.</t>
  </si>
  <si>
    <t>Per-server patch inventory with failure monitoring.</t>
  </si>
  <si>
    <t>Automated reconciliation of console data and scanner results, failures auto-ticketed.</t>
  </si>
  <si>
    <t>Reconcile patch tooling reports against credentialed scans, auto-ticket failures, and track pending reboots.</t>
  </si>
  <si>
    <t>ISO 27001:2022 A.8.8; NIST CSF 2.0 ID.RA-01, PR.PS-02; CIS v8.1 7.3, 7.4, 7.7; SOC 2 CC7.1</t>
  </si>
  <si>
    <t>2.5, 2.6</t>
  </si>
  <si>
    <t>Prevent unsupported platforms from running without compensating controls and a retirement plan.</t>
  </si>
  <si>
    <t>End-of-life systems receive no security fixes and are routinely used for initial access and lateral movement.</t>
  </si>
  <si>
    <t>Unpatchable vulnerabilities in end-of-life operating systems and applications.</t>
  </si>
  <si>
    <t>- End-of-life inventory with dates
- exception register with approvals and expiry
- compensating-control evidence
- migration roadmap</t>
  </si>
  <si>
    <t>Windows: `Get-CimInstance Win32_OperatingSystem | select Caption,Version`. Linux: `cat /etc/os-release`.
Compare every server against the vendor lifecycle (vendor pages or endoflife.date), for example Windows Server 2012 R2 or CentOS 7.
For each end-of-life host, verify an approved exception, an expiry date, and isolation or monitoring as compensating controls.</t>
  </si>
  <si>
    <t>CMDB lifecycle fields plus scanner "unsupported operating system" findings.</t>
  </si>
  <si>
    <t>Unsupported systems are unknown or unmanaged.</t>
  </si>
  <si>
    <t>Inventory of end-of-life systems with approved, dated exceptions.</t>
  </si>
  <si>
    <t>Lifecycle-driven roadmap, no unmanaged end-of-life systems, automatic alerts ahead of support end.</t>
  </si>
  <si>
    <t>Inventory support dates, migrate or isolate end-of-life hosts, and require time-bound exceptions signed by the risk owner.</t>
  </si>
  <si>
    <t>ISO 27001:2022 A.8.8, A.5.9; NIST CSF 2.0 ID.AM-08, PR.PS-02; CIS v8.1 2.2; SOC 2 CC7.1</t>
  </si>
  <si>
    <t>2.2</t>
  </si>
  <si>
    <t>Compress time-to-remediate for vulnerabilities with known exploitation.</t>
  </si>
  <si>
    <t>Exploits are often weaponised within days of disclosure; routine cycles are too slow for these cases.</t>
  </si>
  <si>
    <t>Rapid exploitation of newly disclosed vulnerabilities.</t>
  </si>
  <si>
    <t>Corrective</t>
  </si>
  <si>
    <t>- Emergency patch procedure
- threat-intelligence or KEV subscription
- last 3 emergency events with timelines
- time-to-patch metrics</t>
  </si>
  <si>
    <t>Select 3 recent KEV or critical CVEs affecting the estate and measure disclosure-to-remediation time per server.
Compare with the target. The source checklist required remediation of CVSS 7 or higher within one business day; this framework recommends risk-based targets (for example internet-facing KEV within 72 hours).
Verify mitigations for systems that cannot be patched immediately.</t>
  </si>
  <si>
    <t>KEV feed correlated with scanner or Defender TVM asset data.</t>
  </si>
  <si>
    <t>No emergency process; critical patches wait for the monthly cycle.</t>
  </si>
  <si>
    <t>Defined fast-track with owners; usually met for internet-facing systems.</t>
  </si>
  <si>
    <t>Threat-intel triggered automation with measured, consistently met targets.</t>
  </si>
  <si>
    <t>Subscribe to KEV and vendor advisories, define emergency timelines by exposure, and rehearse the process.</t>
  </si>
  <si>
    <t>ISO 27001:2022 A.8.8, A.5.7; NIST CSF 2.0 ID.RA-01, ID.RA-02; CIS v8.1 7.7; SOC 2 CC7.1</t>
  </si>
  <si>
    <t>5.6</t>
  </si>
  <si>
    <t>Keep BIOS/UEFI, BMC, controller, NIC firmware and hypervisor builds current.</t>
  </si>
  <si>
    <t>Firmware and hypervisor flaws affect every workload above them and are often missed by OS patching.</t>
  </si>
  <si>
    <t>Firmware implants, hypervisor escape and ESXi-targeting ransomware exploits.</t>
  </si>
  <si>
    <t>- Firmware inventory (OpenManage, iLO, Redfish)
- hypervisor build numbers versus vendor advisories
- firmware change tickets</t>
  </si>
  <si>
    <t>VMware: `Get-VMHost | select Name,Version,Build` (PowerCLI). Hyper-V: `Get-ComputerInfo`. Proxmox: `pveversion -v`.
Redfish: `curl -k -u &lt;user&gt; https://&lt;bmc&gt;/redfish/v1/UpdateService/FirmwareInventory`.
Compare against current vendor security advisories and note hosts behind the supported builds.</t>
  </si>
  <si>
    <t>Redfish and vendor management APIs; PowerCLI scheduled reports.</t>
  </si>
  <si>
    <t>Firmware is never updated after installation.</t>
  </si>
  <si>
    <t>Annual firmware cycle and tracked hypervisor patching.</t>
  </si>
  <si>
    <t>Continuous firmware compliance reporting and risk-based expedited updates.</t>
  </si>
  <si>
    <t>Inventory firmware and hypervisor versions, subscribe to vendor advisories, and schedule updates with maintenance windows.</t>
  </si>
  <si>
    <t>ISO 27001:2022 A.8.8, A.7.13; NIST CSF 2.0 PR.PS-02, PR.PS-03; CIS v8.1 7.3; SOC 2 CC7.1</t>
  </si>
  <si>
    <t>Generate the audit trail needed to detect and investigate compromise.</t>
  </si>
  <si>
    <t>Without logs, intrusions cannot be detected, scoped or proven, and regulatory obligations cannot be met.</t>
  </si>
  <si>
    <t>Undetected compromise and loss of forensic evidence.</t>
  </si>
  <si>
    <t>- Audit policy export
- auditd and rsyslog configuration
- sample log events
- log source inventory</t>
  </si>
  <si>
    <t>Windows: `auditpol /get /category:*`; `Get-WinEvent -ListLog Security | select LogName,MaximumSizeInBytes`; confirm events 4624, 4625, 4672, 4720, 4728, 4732, 4697, 4698 and 7045 occur; check PowerShell script block logging at `HKLM\SOFTWARE\Policies\Microsoft\Windows\PowerShell\ScriptBlockLogging`.
Linux: `systemctl is-active auditd`, `auditctl -l` (look for rules on /etc/passwd, /etc/shadow, sudoers and execve), `last -n 20`.</t>
  </si>
  <si>
    <t>GPO and auditd configuration exports; Ansible audit role; osquery event tables.</t>
  </si>
  <si>
    <t>Default logging only.</t>
  </si>
  <si>
    <t>Defined audit policy applied consistently with timestamps and critical events covered.</t>
  </si>
  <si>
    <t>Threat-informed audit policy (including command-line and script logging) validated by detection tests.</t>
  </si>
  <si>
    <t>Enable advanced audit policy, auditd rules and PowerShell logging aligned to a documented logging standard.</t>
  </si>
  <si>
    <t>NIST SP 800-92; CIS Control 8; Microsoft Windows auditing guidance; CISA/ASD logging best-practice guidance</t>
  </si>
  <si>
    <t>ISO 27001:2022 A.8.15, A.8.16; NIST CSF 2.0 PR.PS-04, DE.CM-09; CIS v8.1 8.2, 8.5; SOC 2 CC7.2</t>
  </si>
  <si>
    <t>3.1, 3.5</t>
  </si>
  <si>
    <t>Preserve evidence off-host and detect log tampering or forwarding failure.</t>
  </si>
  <si>
    <t>Attackers routinely clear local logs; central storage preserves evidence and enables correlation.</t>
  </si>
  <si>
    <t>Log clearing, loss of evidence, single point of failure on the host.</t>
  </si>
  <si>
    <t>- SIEM log-source health dashboard
- forwarder configuration (WEF/WEC, Azure Monitor Agent, rsyslog, Splunk UF)
- alert rules for log clearing and silent sources</t>
  </si>
  <si>
    <t>Windows: `wecutil gs &lt;subscription&gt;` or check the agent service. Linux: `grep -R "omfwd" /etc/rsyslog.conf /etc/rsyslog.d/`.
In the SIEM, verify last-event time per server (stale beyond 15 minutes is a gap).
Generate benign test events: `logger -p auth.notice "SAOS-test"` and `eventcreate /T INFORMATION /ID 999 /L APPLICATION /SO SAOS /D "test"`, then confirm arrival.
Confirm an alert exists for Security log cleared (event 1102).</t>
  </si>
  <si>
    <t>SIEM API for last-seen per source; synthetic heartbeat events.</t>
  </si>
  <si>
    <t>Logs remain only on local servers.</t>
  </si>
  <si>
    <t>Central collection for most servers with documented coverage.</t>
  </si>
  <si>
    <t>Complete coverage with write-once storage, heartbeat monitoring and log-clear alerts.</t>
  </si>
  <si>
    <t>Deploy forwarders to all servers, send to a restricted SIEM or log store, and alert on silent sources and log clearing.</t>
  </si>
  <si>
    <t>ISO 27001:2022 A.8.15, A.8.16; NIST CSF 2.0 PR.PS-04, DE.CM-09, DE.AE-02; CIS v8.1 8.9, 13.1; SOC 2 CC7.2</t>
  </si>
  <si>
    <t>3.7</t>
  </si>
  <si>
    <t>Keep logs long enough to investigate incidents that are discovered late.</t>
  </si>
  <si>
    <t>Intrusions are often found weeks after initial access; short retention destroys the evidence needed to scope them.</t>
  </si>
  <si>
    <t>Loss of forensic evidence when local logs roll over.</t>
  </si>
  <si>
    <t>- Retention policy
- SIEM retention configuration
- local log size settings
- regulatory retention requirements</t>
  </si>
  <si>
    <t>Windows: `wevtutil gl Security` (maxSize and retention). Linux: `journalctl --disk-usage` and `grep -E 'max_log_file|num_logs' /etc/audit/auditd.conf`.
Confirm the SIEM can return events older than the required window. The source checklist required at least 2 weeks locally; this framework recommends at least 90 days online and 12 months archived, subject to regulation.</t>
  </si>
  <si>
    <t>SIEM retention API; scripted check of oldest available event per source.</t>
  </si>
  <si>
    <t>Logs overwrite quickly with no retention requirement.</t>
  </si>
  <si>
    <t>Retention defined and configured to policy.</t>
  </si>
  <si>
    <t>Tiered retention aligned to regulation and threat profile, validated by periodic retrieval tests.</t>
  </si>
  <si>
    <t>Set minimum retention (online and archive) by data class and regulation, and size local logs to cover forwarding outages.</t>
  </si>
  <si>
    <t>ISO 27001:2022 A.8.15, A.5.33; NIST CSF 2.0 PR.PS-04; CIS v8.1 8.3, 8.10; SOC 2 CC7.2</t>
  </si>
  <si>
    <t>3.5</t>
  </si>
  <si>
    <t>Prevent logs from becoming a store of credentials or personal data.</t>
  </si>
  <si>
    <t>Credentials and personal data in logs create breach exposure and privacy compliance failures.</t>
  </si>
  <si>
    <t>Credential exposure through logs and privacy breaches.</t>
  </si>
  <si>
    <t>- Application logging configuration
- sample log review
- log file permission listings
- secret-scan results for log stores</t>
  </si>
  <si>
    <t>Windows: review process command-line auditing (event 4688) and PowerShell transcripts for secrets.
Linux: `grep -riE "password=|passwd|secret|token" /var/log 2&gt;/dev/null | head` and `ls -l /var/log`.
With authorisation, run `gitleaks detect --no-git -s /var/log` or `trufflehog filesystem /var/log`.</t>
  </si>
  <si>
    <t>Secret scanners against log stores; SIEM masking and data-loss rules.</t>
  </si>
  <si>
    <t>Logs contain secrets and are world-readable.</t>
  </si>
  <si>
    <t>Logging standard prohibits sensitive data and permissions are restricted.</t>
  </si>
  <si>
    <t>Automated secret scanning of logs with masking at source.</t>
  </si>
  <si>
    <t>Mask sensitive fields at source, restrict log permissions, and scan log stores for secrets.</t>
  </si>
  <si>
    <t>ISO 27001:2022 A.8.15, A.5.34; NIST CSF 2.0 PR.DS-01, PR.PS-04; CIS v8.1 3.3; SOC 2 CC6.1</t>
  </si>
  <si>
    <t>3.6</t>
  </si>
  <si>
    <t>Ensure collected logs are actually examined and that monitoring quality is measured.</t>
  </si>
  <si>
    <t>Logs that are never reviewed give a false sense of assurance.</t>
  </si>
  <si>
    <t>Missed intrusions despite available evidence.</t>
  </si>
  <si>
    <t>- Log monitoring procedure and schedule
- server use-case catalogue
- triage records
- monthly review minutes
- detection metrics</t>
  </si>
  <si>
    <t>Review the procedure and schedule and sample 3 months of review evidence.
Select 5 use cases (new local administrator, service creation, failed-logon spike, audit log cleared, new SSH key) and trigger benign test events.
Verify alerts fire, are triaged and result in tickets within the target time.</t>
  </si>
  <si>
    <t>SIEM detection rules as code; purple-team or Atomic Red Team test execution.</t>
  </si>
  <si>
    <t>No defined monitoring; logs reviewed only after incidents.</t>
  </si>
  <si>
    <t>Documented schedule and use cases with evidence of triage.</t>
  </si>
  <si>
    <t>Measured detection coverage against ATT&amp;CK with regular testing and tuning.</t>
  </si>
  <si>
    <t>Define server detection use cases, assign monitoring ownership, and review detection performance monthly.</t>
  </si>
  <si>
    <t>ISO 27001:2022 A.8.15, A.8.16; NIST CSF 2.0 DE.CM-09, DE.AE-02, DE.AE-03; CIS v8.1 8.11, 13.1; SOC 2 CC7.2, CC7.3</t>
  </si>
  <si>
    <t>3.2, 3.3, 3.4</t>
  </si>
  <si>
    <t>Ensure consistent time for log correlation and authentication, and trustworthy name resolution.</t>
  </si>
  <si>
    <t>Inconsistent time breaks forensic timelines and Kerberos; untrusted DNS enables redirection attacks.</t>
  </si>
  <si>
    <t>Log correlation failure, authentication failures, DNS spoofing.</t>
  </si>
  <si>
    <t>- NTP configuration
- DNS resolver configuration
- time status output
- AD time hierarchy documentation</t>
  </si>
  <si>
    <t>Windows: `w32tm /query /status`, `w32tm /query /source`, `Get-DnsClientServerAddress` (domain members should follow the domain hierarchy; the PDC emulator syncs to a reliable external source).
Linux: `chronyc sources -v`, `timedatectl show`, `resolvectl status` or `cat /etc/resolv.conf`.
Confirm clock offset is well under one second and resolvers are the approved internal servers.</t>
  </si>
  <si>
    <t>Fleet-wide chrony/w32tm offset reports; DNS configuration compliance checks.</t>
  </si>
  <si>
    <t>Clocks drift and resolvers are set arbitrarily.</t>
  </si>
  <si>
    <t>Authoritative time and DNS sources defined and configured.</t>
  </si>
  <si>
    <t>Redundant authenticated time sources with offset monitoring and alerts.</t>
  </si>
  <si>
    <t>Standardise time sources and resolvers in the build baseline and monitor clock offset.</t>
  </si>
  <si>
    <t>ISO 27001:2022 A.8.17; NIST CSF 2.0 PR.PS-04; CIS v8.1 4.9, 8.4; SOC 2 CC7.2</t>
  </si>
  <si>
    <t>12.2</t>
  </si>
  <si>
    <t>Detect and block malicious code and behaviour on servers.</t>
  </si>
  <si>
    <t>Servers are prime ransomware targets; endpoint protection is a baseline expectation of insurers and regulators.</t>
  </si>
  <si>
    <t>Malware and ransomware execution, defence tampering.</t>
  </si>
  <si>
    <t>- EDR console deployment report
- coverage versus inventory
- exclusion list
- tamper protection setting</t>
  </si>
  <si>
    <t>Windows: `Get-MpComputerStatus | select AMServiceEnabled,RealTimeProtectionEnabled,AntivirusSignatureLastUpdated,IsTamperProtected` and `Get-MpPreference | select ExclusionPath,ExclusionProcess`.
Linux: `mdatp health` for Defender, or the vendor equivalent.
Compare EDR-reported hosts with the inventory and review exclusions for breadth and approval.</t>
  </si>
  <si>
    <t>EDR console API coverage report; Defender for Endpoint device inventory.</t>
  </si>
  <si>
    <t>Protection absent or unmanaged on many servers.</t>
  </si>
  <si>
    <t>Deployed on all servers with updates and central alerting.</t>
  </si>
  <si>
    <t>Tamper-protected EDR on all servers with reviewed exclusions and response playbooks.</t>
  </si>
  <si>
    <t>Deploy EDR to every server, enable tamper protection, and review exclusions quarterly.</t>
  </si>
  <si>
    <t>CIS Controls 10 and 13; Microsoft Defender documentation; vendor EDR hardening guides</t>
  </si>
  <si>
    <t>ISO 27001:2022 A.8.7; NIST CSF 2.0 DE.CM-09, PR.PS-05; CIS v8.1 10.1, 10.2, 10.7; SOC 2 CC6.8</t>
  </si>
  <si>
    <t>4.4</t>
  </si>
  <si>
    <t>Limit network access to each server to required services and sources.</t>
  </si>
  <si>
    <t>Host firewalls contain lateral movement when perimeter and segmentation controls fail.</t>
  </si>
  <si>
    <t>Lateral movement and service exposure.</t>
  </si>
  <si>
    <t>- Firewall rule exports
- GPO
- nftables or firewalld configuration
- rule review records</t>
  </si>
  <si>
    <t>Windows: `Get-NetFirewallProfile | select Name,Enabled,DefaultInboundAction` and `Get-NetFirewallRule -Enabled True -Direction Inbound -Action Allow | select DisplayName,Profile`.
Linux: `firewall-cmd --list-all`, `nft list ruleset`, `ufw status verbose` or `iptables -S`.
Confirm the default inbound policy is block or drop and that rules restrict source addresses.</t>
  </si>
  <si>
    <t>GPO, Intune or Ansible firewall policy export; OpenSCAP firewall rules.</t>
  </si>
  <si>
    <t>Host firewall disabled.</t>
  </si>
  <si>
    <t>Enabled with default-deny and role-based rules.</t>
  </si>
  <si>
    <t>Source-restricted rules managed as code with periodic review and drift alerts.</t>
  </si>
  <si>
    <t>Enable the host firewall in default-deny mode and scope rules to required ports and sources.</t>
  </si>
  <si>
    <t>ISO 27001:2022 A.8.20, A.8.9; NIST CSF 2.0 PR.IR-01; CIS v8.1 4.4; SOC 2 CC6.6</t>
  </si>
  <si>
    <t>4.5</t>
  </si>
  <si>
    <t>Block exploitation techniques and malicious behaviour at the host.</t>
  </si>
  <si>
    <t>Prevention-mode controls on authentication servers protect the systems that hold the keys to the whole estate.</t>
  </si>
  <si>
    <t>Memory-corruption exploitation and post-exploitation behaviour.</t>
  </si>
  <si>
    <t>- HIPS or EDR prevention policy
- exploit-protection configuration
- list of authentication servers with HIPS status</t>
  </si>
  <si>
    <t>Windows: `Get-ProcessMitigation -System` and `Get-MpPreference | select -ExpandProperty AttackSurfaceReductionRules_Ids`.
Linux: `sestatus` or `aa-status`, and `sysctl kernel.randomize_va_space kernel.kptr_restrict`.
Confirm authentication servers run in prevention mode, not detect-only.</t>
  </si>
  <si>
    <t>Defender ASR rule reporting; EDR policy export; OpenSCAP kernel hardening checks.</t>
  </si>
  <si>
    <t>No host prevention capability.</t>
  </si>
  <si>
    <t>Prevention enabled on critical and authentication servers.</t>
  </si>
  <si>
    <t>Tuned prevention on all servers with measured block events and regular tests.</t>
  </si>
  <si>
    <t>Enable exploit mitigations and ASR rules, and enforce prevention mode on authentication servers.</t>
  </si>
  <si>
    <t>ISO 27001:2022 A.8.7, A.8.9; NIST CSF 2.0 PR.PS-05, DE.CM-09; CIS v8.1 10.5, 13.7; SOC 2 CC6.8, CC7.2</t>
  </si>
  <si>
    <t>4.6</t>
  </si>
  <si>
    <t>Detect unauthorised changes to system binaries, configuration and sensitive files.</t>
  </si>
  <si>
    <t>Integrity monitoring detects web shells, rootkits and persistence that signature tools miss.</t>
  </si>
  <si>
    <t>Web shells, binary tampering, rootkits, persistence mechanisms.</t>
  </si>
  <si>
    <t>- FIM policy and monitored paths
- alert samples
- baseline hash database
- EDR or FIM console</t>
  </si>
  <si>
    <t>Linux: `aide --check` or `tripwire --check`; confirm the AIDE database is stored read-only or off-host.
Windows: Defender for Endpoint, Wazuh or Tripwire FIM; Sysmon events 11, 12 and 13 for file and registry activity.
Make a controlled benign change to a monitored test file and confirm an alert is raised.</t>
  </si>
  <si>
    <t>Wazuh, AIDE, Tripwire or EDR FIM with SIEM alerting.</t>
  </si>
  <si>
    <t>No integrity monitoring.</t>
  </si>
  <si>
    <t>FIM on critical servers and paths with alerts.</t>
  </si>
  <si>
    <t>Comprehensive FIM with change-ticket correlation and automated triage.</t>
  </si>
  <si>
    <t>Deploy FIM on critical paths, protect baselines off-host, and correlate alerts with approved changes.</t>
  </si>
  <si>
    <t>ISO 27001:2022 A.8.16, A.8.9; NIST CSF 2.0 PR.DS-06, DE.CM-09; CIS v8.1 4.1; SOC 2 CC7.1</t>
  </si>
  <si>
    <t>4.7</t>
  </si>
  <si>
    <t>Ensure no server goes live with known exploitable weaknesses or without a retained security baseline.</t>
  </si>
  <si>
    <t>Fixing issues before go-live is far cheaper than after exposure, and the baseline report supports later audits and investigations.</t>
  </si>
  <si>
    <t>Insecure systems exposed at go-live.</t>
  </si>
  <si>
    <t>- Go-live checklist
- pre-production scan and baseline compliance report
- sign-off record
- retained report archive</t>
  </si>
  <si>
    <t>Sample 5 servers deployed in the last 12 months and locate the pre-production scan report, the open findings by severity at go-live, and the approval of any residual risk.
For automated builds, confirm a scan gate exists in the pipeline.
Verify reports are retained and retrievable.</t>
  </si>
  <si>
    <t>Pipeline gate calling a scanner API (Nessus, Qualys, Defender TVM, OpenVAS).</t>
  </si>
  <si>
    <t>Servers go live without assessment.</t>
  </si>
  <si>
    <t>Pre-production checklist and scan completed with sign-off and retained reports.</t>
  </si>
  <si>
    <t>Automated pipeline gates block deployment on policy failure with exception workflow.</t>
  </si>
  <si>
    <t>Add a mandatory pre-production hardening and scanning gate with documented sign-off and report retention.</t>
  </si>
  <si>
    <t>NIST SP 800-115; NIST SP 800-40 Rev.4; CVSS specification (FIRST); EPSS; CISA KEV catalog</t>
  </si>
  <si>
    <t>ISO 27001:2022 A.8.29, A.8.8, A.8.9; NIST CSF 2.0 ID.RA-01, PR.PS-01; CIS v8.1 4.1, 7.5; SOC 2 CC7.1, CC8.1</t>
  </si>
  <si>
    <t>5.1, 5.5</t>
  </si>
  <si>
    <t>Continuously identify missing patches and misconfigurations across all servers.</t>
  </si>
  <si>
    <t>Unauthenticated scans miss most local vulnerabilities; coverage gaps leave unknown risk.</t>
  </si>
  <si>
    <t>Unknown vulnerabilities and false negatives from unauthenticated scanning.</t>
  </si>
  <si>
    <t>- Scan schedule
- coverage report versus inventory
- scan credential policy
- last 3 scan results
- authentication failure report</t>
  </si>
  <si>
    <t>Export the scanner asset list and compare with the inventory (target coverage of 95% or better).
Check the authentication success rate per scan and the last-scanned date per server.
Confirm internet-facing assets are also scanned externally from an authorised host (`nmap -sV &lt;public-ip&gt;`).</t>
  </si>
  <si>
    <t>Scanner API coverage reports reconciled to CMDB.</t>
  </si>
  <si>
    <t>No regular scanning.</t>
  </si>
  <si>
    <t>Scheduled credentialed scans with tracked coverage.</t>
  </si>
  <si>
    <t>Continuous assessment (agent-based) with near-complete coverage and exposure-aware prioritisation.</t>
  </si>
  <si>
    <t>Schedule credentialed scans for all servers, fix authentication failures, and scan internet-facing assets externally.</t>
  </si>
  <si>
    <t>ISO 27001:2022 A.8.8; NIST CSF 2.0 ID.RA-01; CIS v8.1 7.5, 7.6; SOC 2 CC7.1</t>
  </si>
  <si>
    <t>5.2</t>
  </si>
  <si>
    <t>Ensure scanning is permitted, unobstructed and performed only by approved people and tools.</t>
  </si>
  <si>
    <t>Blocked scanners create blind spots, while unmanaged scanners and their credentials are an attack path.</t>
  </si>
  <si>
    <t>Blind spots from blocked scanners, rogue scanning, scanner credential abuse.</t>
  </si>
  <si>
    <t>- Scanning authorisation or rules of engagement
- approved-tool list
- scanner service-account permissions
- security-tool allow-list rationale
- authorised operator list</t>
  </si>
  <si>
    <t>Review the authorisation and approved-tool list.
Confirm scanner IPs and service accounts are inventoried, least-privilege, vaulted and monitored, and that scanner subnets are not permanently exempt across the detection stack.
Hunt in the EDR for scanning tools (nmap, nessus) running outside approved hosts.</t>
  </si>
  <si>
    <t>EDR hunting query for unapproved scanner binaries.</t>
  </si>
  <si>
    <t>Scanning occurs ad hoc with no approval or governance.</t>
  </si>
  <si>
    <t>Authorised scanning with approved tools and operators.</t>
  </si>
  <si>
    <t>Vaulted scanner credentials with monitored use and annual authorisation review.</t>
  </si>
  <si>
    <t>Document scanning authorisation, vault scanner credentials, and review exemptions in security tooling.</t>
  </si>
  <si>
    <t>ISO 27001:2022 A.8.8, A.8.34; NIST CSF 2.0 ID.RA-01; CIS v8.1 7.5; SOC 2 CC7.1</t>
  </si>
  <si>
    <t>5.3, 5.4, 5.7</t>
  </si>
  <si>
    <t>Reduce exploitable exposure through risk-based prioritisation and closed-loop remediation.</t>
  </si>
  <si>
    <t>CVSS alone misprioritises; combining exploitability, exposure and asset criticality focuses effort where breach likelihood is highest.</t>
  </si>
  <si>
    <t>Backlog of exploitable issues and false closure of findings.</t>
  </si>
  <si>
    <t>- Vulnerability management standard with timelines
- aged vulnerability report
- exception register
- rescan evidence
- time-to-remediate metrics</t>
  </si>
  <si>
    <t>Export open vulnerabilities and calculate the percentage within timeline by severity.
Sample 10 closed items for rescan evidence and 5 exceptions for approval, compensating controls and expiry.
Where no CVSS exists, confirm the vulnerability is assessed for remote exploitability.</t>
  </si>
  <si>
    <t>Scanner and ticketing integration; KEV and EPSS enrichment.</t>
  </si>
  <si>
    <t>Vulnerabilities are listed but not tracked to closure.</t>
  </si>
  <si>
    <t>Defined timelines, tracked remediation and approved exceptions.</t>
  </si>
  <si>
    <t>Risk-based prioritisation using threat data with measured, consistently met timelines and verified closure.</t>
  </si>
  <si>
    <t>Adopt risk-based timelines, enrich findings with KEV and EPSS, and require rescan validation before closure.</t>
  </si>
  <si>
    <t>ISO 27001:2022 A.8.8; NIST CSF 2.0 ID.RA-05, ID.RA-06; CIS v8.1 7.1, 7.2, 7.7; SOC 2 CC7.1, CC3.2</t>
  </si>
  <si>
    <t>Restrict network reachability of servers to required flows and prevent unintended exposure.</t>
  </si>
  <si>
    <t>Flat networks turn a single compromised host into an enterprise-wide incident.</t>
  </si>
  <si>
    <t>Lateral movement across flat networks and internet exposure of management or database ports.</t>
  </si>
  <si>
    <t>- Network diagrams
- firewall rule exports for server zones
- data-flow documentation
- external attack-surface scan
- segmentation test results
- list of specialised-computing participants</t>
  </si>
  <si>
    <t>Compare the server inventory with VLAN and zone assignment.
Run an authorised external scan (`nmap -Pn -sV -p- &lt;public-ranges&gt;`) and compare to documented exposure.
From a user VLAN test reachability to admin ports (`Test-NetConnection &lt;ip&gt; -Port 3389` or `nc -vz &lt;ip&gt; 22`; also 445, 5985, 5986).
Review firewall rules for any-any and unused entries, and confirm HPC or grid workloads have documented safeguards.</t>
  </si>
  <si>
    <t>Firewall rule analysis tools (Tufin, AlgoSec, FireMon) or exported configuration parsing; external attack-surface management.</t>
  </si>
  <si>
    <t>Flat network with servers and users together.</t>
  </si>
  <si>
    <t>Defined server zones with documented flows and firewall control.</t>
  </si>
  <si>
    <t>Micro-segmentation, continuous exposure monitoring and validated segmentation tests.</t>
  </si>
  <si>
    <t>Segment server zones, document flows, remove unused rules, and monitor external exposure continuously.</t>
  </si>
  <si>
    <t>NIST SP 800-41 Rev.1; NIST SP 800-207; CIS Control 12</t>
  </si>
  <si>
    <t>ISO 27001:2022 A.8.20, A.8.21, A.8.22; NIST CSF 2.0 PR.IR-01, ID.AM-03; CIS v8.1 4.4, 12.2, 13.4; SOC 2 CC6.6</t>
  </si>
  <si>
    <t>1.3, 13.1</t>
  </si>
  <si>
    <t>Eliminate publicly known credentials on operating systems, applications and appliances.</t>
  </si>
  <si>
    <t>Default credentials are trivially guessed and are tested first in nearly every attack.</t>
  </si>
  <si>
    <t>Credential guessing with documented vendor defaults.</t>
  </si>
  <si>
    <t>- Default-account review
- account listings per system
- default-credential scan results
- BMC and appliance credential rotation records</t>
  </si>
  <si>
    <t>Windows: `Get-LocalUser | select Name,Enabled,PasswordLastSet`; confirm the built-in Administrator is renamed, disabled or LAPS-managed and Guest is disabled.
Linux: `awk -F: '($2==""){print $1}' /etc/shadow` and `getent passwd | awk -F: '$3==0{print $1}'`; check default application accounts (tomcat, admin, postgres, sa).
Run an authorised default-password scan (for example Nessus default-password plugins).</t>
  </si>
  <si>
    <t>Credentialed scanner default-password checks; Ansible account audit.</t>
  </si>
  <si>
    <t>Default credentials remain on some systems.</t>
  </si>
  <si>
    <t>Default accounts changed at build with a verified checklist.</t>
  </si>
  <si>
    <t>Automated detection of default credentials with rotation to a vault.</t>
  </si>
  <si>
    <t>Change or disable default credentials during build, and scan for them regularly.</t>
  </si>
  <si>
    <t>NIST SP 800-63B; NIST SP 800-53 Rev.5 AC and IA families; CIS Controls 5 and 6; Windows LAPS documentation</t>
  </si>
  <si>
    <t>ISO 27001:2022 A.5.17, A.8.9; NIST CSF 2.0 PR.AA-01, PR.PS-01; CIS v8.1 4.7, 5.2; SOC 2 CC6.1</t>
  </si>
  <si>
    <t>6.2</t>
  </si>
  <si>
    <t>Protect administrative access with phishing-resistant or multi-factor authentication.</t>
  </si>
  <si>
    <t>Stolen or guessed administrator passwords give full control of the server and often the domain.</t>
  </si>
  <si>
    <t>Password theft, brute force and reuse against privileged accounts.</t>
  </si>
  <si>
    <t>- PAM or jump host configuration
- MFA and Conditional Access policy export
- sshd configuration
- admin accounts with authentication method
- exception list</t>
  </si>
  <si>
    <t>Windows: confirm admin RDP and console logon occurs through a PAW or jump host with MFA (Conditional Access, smart card or Windows Hello for Business); `Get-ADUser -Filter {SmartcardLogonRequired -eq $true}` for smart-card-enforced admins.
Linux: `sshd -T | egrep "passwordauthentication|permitrootlogin|pubkeyauthentication|authenticationmethods"` and `grep -E "pam_google_authenticator|pam_duo" /etc/pam.d/sshd`.
Compare the admin list with enforcement and attempt a password-only login (expect failure).</t>
  </si>
  <si>
    <t>Entra sign-in logs and Conditional Access reports; sshd -T compliance scan.</t>
  </si>
  <si>
    <t>Passwords only for administrators.</t>
  </si>
  <si>
    <t>MFA enforced for administrators with documented exceptions.</t>
  </si>
  <si>
    <t>Phishing-resistant MFA everywhere with just-in-time elevation and no standing access.</t>
  </si>
  <si>
    <t>Enforce MFA via jump host or PAM, move SSH to keys or certificates, and remove password-only paths.</t>
  </si>
  <si>
    <t>ISO 27001:2022 A.8.5, A.8.2; NIST CSF 2.0 PR.AA-03; CIS v8.1 6.5; SOC 2 CC6.1</t>
  </si>
  <si>
    <t>6.3</t>
  </si>
  <si>
    <t>Restrict access to authorised, authenticated users with only the rights they need.</t>
  </si>
  <si>
    <t>Excess privilege multiplies the damage of any single account compromise or insider misuse.</t>
  </si>
  <si>
    <t>Excess privilege enabling data theft, sabotage and privilege escalation.</t>
  </si>
  <si>
    <t>- Role and group matrix
- local and domain group membership exports
- ACL listings for key data
- last access review</t>
  </si>
  <si>
    <t>Windows: `Get-LocalGroupMember Administrators`, `Get-SmbShare | Get-SmbShareAccess`, `icacls &lt;path&gt;`; look for Everyone or Authenticated Users write access.
Linux: `getent group sudo wheel`, `find / -xdev -perm -0002 -type f 2&gt;/dev/null | head`, `find / -xdev -perm -4000 -type f`.
Sample 10 users and compare their rights with job roles.</t>
  </si>
  <si>
    <t>AD and local group exports; access analytics tools; Ansible user audit.</t>
  </si>
  <si>
    <t>Broad shared access with many administrators.</t>
  </si>
  <si>
    <t>Role-based groups and documented access matrix.</t>
  </si>
  <si>
    <t>Just-in-time elevation, automated entitlement analytics and periodic recertification.</t>
  </si>
  <si>
    <t>Move to role-based groups, remove direct and excessive permissions, and recertify access quarterly.</t>
  </si>
  <si>
    <t>ISO 27001:2022 A.5.15, A.5.18, A.8.2, A.8.3; NIST CSF 2.0 PR.AA-05; CIS v8.1 3.3, 5.4, 6.8; SOC 2 CC6.1, CC6.3</t>
  </si>
  <si>
    <t>6.4</t>
  </si>
  <si>
    <t>Keep access aligned with current role and eliminate orphaned accounts.</t>
  </si>
  <si>
    <t>Leavers and movers retaining access are a major source of audit findings and insider breaches.</t>
  </si>
  <si>
    <t>Orphaned and over-provisioned access.</t>
  </si>
  <si>
    <t>- Access procedure
- approved access request sample
- leaver list versus server accounts
- recertification records</t>
  </si>
  <si>
    <t>Sample 10 leavers and 10 movers and verify revocation within the target time (for example 24 hours).
Compare the HR leaver list with server and AD accounts.
Windows: `Get-ADUser -Filter {Enabled -eq $true} -Properties LastLogonDate | where LastLogonDate -lt (Get-Date).AddDays(-90)`. Linux: `lastlog -b 90`.
Check the date and outcome of the last recertification.</t>
  </si>
  <si>
    <t>HR-to-IAM leaver reconciliation; dormant account reports.</t>
  </si>
  <si>
    <t>Access removed only when someone remembers.</t>
  </si>
  <si>
    <t>Documented joiner/mover/leaver process with annual reviews.</t>
  </si>
  <si>
    <t>HR-driven automated provisioning and revocation with quarterly privileged recertification.</t>
  </si>
  <si>
    <t>Automate leaver revocation, disable dormant accounts, and recertify privileged access at least quarterly.</t>
  </si>
  <si>
    <t>ISO 27001:2022 A.5.16, A.5.18; NIST CSF 2.0 PR.AA-01, PR.AA-05; CIS v8.1 5.3, 6.1, 6.2; SOC 2 CC6.2, CC6.3</t>
  </si>
  <si>
    <t>Ensure every interactive session is attributable to one individual.</t>
  </si>
  <si>
    <t>Shared accounts remove accountability and are hard to revoke when staff leave.</t>
  </si>
  <si>
    <t>Loss of accountability and widely known shared credentials.</t>
  </si>
  <si>
    <t>- Account inventory with type classification
- exception approvals
- PAM checkout logs</t>
  </si>
  <si>
    <t>Windows: `Get-LocalUser Guest`; review interactive logon events (4624 logon types 2 and 10) for non-personal accounts.
Linux: `getent passwd` for UID 1000 and above and `last` for shared names.
Verify exceptions use PAM checkout with session recording.</t>
  </si>
  <si>
    <t>Account inventory scripts with naming convention checks.</t>
  </si>
  <si>
    <t>Shared admin accounts are common.</t>
  </si>
  <si>
    <t>Shared accounts disabled apart from approved, logged exceptions.</t>
  </si>
  <si>
    <t>No shared accounts; break-glass access vaulted, alerted and reviewed after use.</t>
  </si>
  <si>
    <t>Replace shared accounts with named accounts and vault break-glass credentials.</t>
  </si>
  <si>
    <t>ISO 27001:2022 A.5.16, A.5.17; NIST CSF 2.0 PR.AA-01; CIS v8.1 5.1, 5.2; SOC 2 CC6.1</t>
  </si>
  <si>
    <t>Know and control the implicit trust paths between systems and identities.</t>
  </si>
  <si>
    <t>Unreviewed trusts allow an attacker to move from a low-value system to critical ones.</t>
  </si>
  <si>
    <t>Lateral movement through unmonitored trust paths.</t>
  </si>
  <si>
    <t>- Trust inventory
- AD trust export
- authorized_keys inventory
- delegation settings
- review sign-off</t>
  </si>
  <si>
    <t>AD: `Get-ADTrust -Filter * | select Name,Direction,TrustType,SIDFilteringQuarantined` and `Get-ADComputer -Filter {TrustedForDelegation -eq $true}`.
Linux: `find /home /root -name authorized_keys`, `cat /etc/hosts.equiv ~/.rhosts 2&gt;/dev/null`, and review `/etc/sudoers.d`.
Validate business justification, SID filtering and key ownership.</t>
  </si>
  <si>
    <t>AD trust and delegation reports; SSH key inventory scripts.</t>
  </si>
  <si>
    <t>Trust relationships are unknown.</t>
  </si>
  <si>
    <t>Trusts documented and reviewed annually.</t>
  </si>
  <si>
    <t>Continuously monitored trust graph with automated alerts for new trusts and keys.</t>
  </si>
  <si>
    <t>Inventory trusts and delegation, remove unneeded ones, enable SID filtering, and review SSH keys.</t>
  </si>
  <si>
    <t>ISO 27001:2022 A.5.15, A.8.2, A.8.20; NIST CSF 2.0 PR.AA-05, ID.AM-03; CIS v8.1 6.8; SOC 2 CC6.1, CC6.3</t>
  </si>
  <si>
    <t>6.1</t>
  </si>
  <si>
    <t>Stop credential reuse of local privileged accounts across servers.</t>
  </si>
  <si>
    <t>A shared local administrator password lets an attacker move across the whole estate from one stolen hash.</t>
  </si>
  <si>
    <t>Pass-the-hash and credential reuse.</t>
  </si>
  <si>
    <t>- Windows LAPS policy
- AD attribute permissions
- PAM vault configuration
- rotation logs</t>
  </si>
  <si>
    <t>Windows: `Get-LapsADPassword -Identity &lt;server&gt;` (Windows LAPS) or check legacy attributes with `Get-ADComputer -Filter * -Properties ms-Mcs-AdmPwdExpirationTime`.
Review who can read the password attribute (ACL review).
Linux: confirm root password rotation through a vault, or that direct root login is disabled.</t>
  </si>
  <si>
    <t>LAPS coverage report; PAM vault API.</t>
  </si>
  <si>
    <t>The same local administrator password is used on many servers.</t>
  </si>
  <si>
    <t>LAPS or vault deployed to most servers with controlled retrieval.</t>
  </si>
  <si>
    <t>Full coverage with rotation after use and alerts on retrieval.</t>
  </si>
  <si>
    <t>Deploy Windows LAPS or a PAM vault, restrict who can read passwords, and disable direct root logon.</t>
  </si>
  <si>
    <t>ISO 27001:2022 A.8.2, A.5.17; NIST CSF 2.0 PR.AA-01, PR.AA-05; CIS v8.1 5.2, 5.4; SOC 2 CC6.1, CC6.3</t>
  </si>
  <si>
    <t>Control non-human identities that run services and scheduled jobs.</t>
  </si>
  <si>
    <t>Service accounts are frequently over-privileged and never rotated, making them prime targets.</t>
  </si>
  <si>
    <t>Kerberoasting, over-privileged service credentials, secret theft.</t>
  </si>
  <si>
    <t>- Service account register
- gMSA list
- SPN review
- password-age report
- vault records</t>
  </si>
  <si>
    <t>AD: `Get-ADServiceAccount -Filter *` and `Get-ADUser -Filter {ServicePrincipalName -like "*"} -Properties PasswordLastSet,ServicePrincipalName`.
Windows services: `Get-CimInstance Win32_Service | select Name,StartName`.
Linux: review systemd units for `User=root`; `getent passwd | awk -F: '$7!~/nologin|false/'`.
Verify interactive logon rights are denied and membership of privileged groups is justified.</t>
  </si>
  <si>
    <t>AD service account reports; PAM discovery.</t>
  </si>
  <si>
    <t>Service accounts are unknown and use shared passwords.</t>
  </si>
  <si>
    <t>Register with owners and password rotation for critical accounts.</t>
  </si>
  <si>
    <t>Managed identities and gMSA throughout, with anomaly detection on service account use.</t>
  </si>
  <si>
    <t>Inventory service accounts, move to gMSA or managed identities, rotate secrets, and deny interactive logon.</t>
  </si>
  <si>
    <t>ISO 27001:2022 A.5.16, A.5.18, A.8.2; NIST CSF 2.0 PR.AA-01; CIS v8.1 5.2, 5.5; SOC 2 CC6.1, CC6.2</t>
  </si>
  <si>
    <t>Control how administrators gain root so that elevated actions are limited and attributable.</t>
  </si>
  <si>
    <t>Unrestricted sudo or direct root login removes accountability and eases privilege escalation.</t>
  </si>
  <si>
    <t>Privilege escalation through sudo misconfiguration and unaccountable root activity.</t>
  </si>
  <si>
    <t>- sudoers files
- sshd configuration
- PAM configuration
- sudo logs</t>
  </si>
  <si>
    <t>`sshd -T | grep permitrootlogin`, `grep -R "NOPASSWD\|ALL=(ALL" /etc/sudoers /etc/sudoers.d`, `visudo -c`.
Check sudo I/O logging with `grep -i "log_input\|log_output" /etc/sudoers*` and lockout with `grep pam_faillock /etc/pam.d/*`.
Windows analogue: `reg query HKLM\SOFTWARE\Microsoft\Windows\CurrentVersion\Policies\System /v EnableLUA`.</t>
  </si>
  <si>
    <t>OpenSCAP and Ansible audits of sudoers and sshd.</t>
  </si>
  <si>
    <t>Direct root login and unrestricted sudo.</t>
  </si>
  <si>
    <t>Root login disabled and sudo restricted by role.</t>
  </si>
  <si>
    <t>Just-in-time privilege with session recording and command-level auditing.</t>
  </si>
  <si>
    <t>Disable direct root SSH, scope sudo rules, require authentication, and log all elevated commands.</t>
  </si>
  <si>
    <t>ISO 27001:2022 A.8.2, A.8.18; NIST CSF 2.0 PR.AA-05; CIS v8.1 5.4, 6.8; SOC 2 CC6.3</t>
  </si>
  <si>
    <t>Protect administrative sessions and credentials from interception and downgrade.</t>
  </si>
  <si>
    <t>Cleartext or weak administrative protocols expose credentials to anyone on the network path.</t>
  </si>
  <si>
    <t>Credential interception, adversary-in-the-middle, protocol downgrade (telnet, FTP, SMBv1, NTLMv1, HTTP).</t>
  </si>
  <si>
    <t>- Protocol configuration
- listening-service inventory
- firewall rules for admin ports
- scan results showing no cleartext admin protocols</t>
  </si>
  <si>
    <t>Windows: RDP NLA via `(Get-ItemProperty "HKLM:\SYSTEM\CurrentControlSet\Control\Terminal Server\WinStations\RDP-Tcp").UserAuthentication`; `winrm enumerate winrm/config/listener`; `Get-SmbServerConfiguration | select RequireSecuritySignature,EnableSMB1Protocol`; LmCompatibilityLevel under `HKLM\SYSTEM\CurrentControlSet\Control\Lsa`.
Linux: `sshd -T | egrep "ciphers|macs|kexalgorithms"` and `ss -tlnp | egrep ":23 |:21 |:80 "`.
Authorised scan: `nmap -sV -p 21,23,80,445,3389,5985,5986 &lt;ip&gt;`.</t>
  </si>
  <si>
    <t>Nmap and credentialed scanner checks; OpenSCAP and CIS-CAT.</t>
  </si>
  <si>
    <t>Cleartext and legacy protocols in use.</t>
  </si>
  <si>
    <t>Secure protocols mandated and legacy disabled on most servers.</t>
  </si>
  <si>
    <t>Enforced by baseline with continuous verification and alerts on cleartext admin traffic.</t>
  </si>
  <si>
    <t>Disable legacy protocols, require NLA/TLS and SSH with modern ciphers, and enforce SMB signing.</t>
  </si>
  <si>
    <t>NIST SP 800-53 Rev.5 AC-17; Microsoft privileged access (enterprise access model); CIS Controls 4 and 12</t>
  </si>
  <si>
    <t>ISO 27001:2022 A.8.5, A.8.21, A.8.24; NIST CSF 2.0 PR.DS-02, PR.AA-03; CIS v8.1 3.10, 4.6; SOC 2 CC6.1, CC6.7</t>
  </si>
  <si>
    <t>Keep administrator credentials off general-purpose, internet-exposed workstations.</t>
  </si>
  <si>
    <t>Admin credentials typed on a compromised daily-use machine hand attackers the keys to the servers.</t>
  </si>
  <si>
    <t>Theft of administrator credentials from compromised workstations.</t>
  </si>
  <si>
    <t>- PAW or bastion standard
- firewall rules allowing admin protocols only from jump hosts
- PAW compliance reports
- session logs</t>
  </si>
  <si>
    <t>Review firewall and host-firewall rules for source restrictions on 22, 3389, 5985 and 5986.
Attempt administrative logon from a standard workstation (expect failure).
Verify the PAW build baseline, no email or browsing, MFA and EDR, and sample session recordings.</t>
  </si>
  <si>
    <t>Firewall rule analysis; PAW compliance via Intune or Defender.</t>
  </si>
  <si>
    <t>Administration from any workstation.</t>
  </si>
  <si>
    <t>Jump hosts or PAWs required for administration of critical servers.</t>
  </si>
  <si>
    <t>Tiered administration with enforced PAWs, session recording and just-in-time access.</t>
  </si>
  <si>
    <t>Introduce a tiered admin model with PAWs or bastions and block admin protocols from other sources.</t>
  </si>
  <si>
    <t>ISO 27001:2022 A.8.2, A.8.20; NIST CSF 2.0 PR.AA-05, PR.IR-01; CIS v8.1 4.6, 12.8; SOC 2 CC6.1, CC6.6</t>
  </si>
  <si>
    <t>12.1</t>
  </si>
  <si>
    <t>Ensure critical data, configuration and system state can be recovered to agreed objectives.</t>
  </si>
  <si>
    <t>Unrecoverable data loss or prolonged outage is an existential risk for many organisations, particularly under ransomware.</t>
  </si>
  <si>
    <t>Permanent data loss and unrecoverable ransomware outage.</t>
  </si>
  <si>
    <t>- Critical-system register with RPO/RTO
- backup job list versus server inventory
- backup success reports (30 days)</t>
  </si>
  <si>
    <t>Reconcile backup console assets with the server inventory and business-critical list.
Check the last successful backup per server and the follow-up of failures.
Windows: `vssadmin list shadows`, `Get-WBSummary`. Linux: `systemctl list-timers | grep -i backup`.
Confirm system state and configuration are backed up, not just data.</t>
  </si>
  <si>
    <t>Backup platform API reconciled with CMDB; failure alerts to ticketing.</t>
  </si>
  <si>
    <t>Backups are informal and incomplete.</t>
  </si>
  <si>
    <t>Documented scope with RPO/RTO and monitored backup jobs.</t>
  </si>
  <si>
    <t>Scope driven by business impact analysis, with automated coverage assurance.</t>
  </si>
  <si>
    <t>Define RPO/RTO from the business impact analysis, onboard all critical servers, and alert on missed or failed jobs.</t>
  </si>
  <si>
    <t>NIST SP 800-34 Rev.1; 3-2-1-1-0 backup practice; CIS Control 11</t>
  </si>
  <si>
    <t>ISO 27001:2022 A.8.13, A.5.29, A.5.30; NIST CSF 2.0 PR.DS-11, ID.AM-05; CIS v8.1 11.1, 11.2; SOC 2 A1.2, CC9.1</t>
  </si>
  <si>
    <t>7.1</t>
  </si>
  <si>
    <t>Ensure recovery can be executed under pressure by someone other than the original author.</t>
  </si>
  <si>
    <t>Slow or failed recovery extends outage costs; plans stored only on affected systems are unusable.</t>
  </si>
  <si>
    <t>Delayed or failed recovery during incidents.</t>
  </si>
  <si>
    <t>- Restoration runbooks
- DR plan
- offline copy location
- last review date
- dependency map</t>
  </si>
  <si>
    <t>Review runbooks for restoration order, credential escrow, licence keys and dependencies (DNS, AD, certificates).
Confirm copies are accessible without production services (offline or printed).
Ask an engineer to walk through a bare-metal restore of a critical server.</t>
  </si>
  <si>
    <t>Runbook review reminders in the document system.</t>
  </si>
  <si>
    <t>No documented recovery procedures.</t>
  </si>
  <si>
    <t>Documented runbooks reviewed annually and available offline.</t>
  </si>
  <si>
    <t>Runbooks tested in exercises and updated after every change or test.</t>
  </si>
  <si>
    <t>Write and test runbooks including dependencies, and keep an offline copy.</t>
  </si>
  <si>
    <t>ISO 27001:2022 A.5.30, A.5.29; NIST CSF 2.0 RC.RP-01; CIS v8.1 11.1; SOC 2 A1.3, CC9.1</t>
  </si>
  <si>
    <t>Prove that backups are usable and that recovery meets objectives.</t>
  </si>
  <si>
    <t>Untested backups frequently fail when needed; testing converts assumption into assurance.</t>
  </si>
  <si>
    <t>Silent backup failure or corruption discovered during a crisis.</t>
  </si>
  <si>
    <t>- Restore test reports
- backup verification logs
- DR exercise results with achieved RTO and RPO
- remediation actions</t>
  </si>
  <si>
    <t>Select 3 critical servers and obtain the latest restore-test evidence (date, scope, success, time versus RTO).
If none exists, perform a supervised test restore to an isolated network.
Review failures and corrective actions.</t>
  </si>
  <si>
    <t>Backup platform automated recovery verification (for example sandbox restore testing).</t>
  </si>
  <si>
    <t>Restores are never tested.</t>
  </si>
  <si>
    <t>Monthly verification and annual DR test with documented results.</t>
  </si>
  <si>
    <t>Automated recovery verification with measured RTO/RPO against targets.</t>
  </si>
  <si>
    <t>Schedule monthly verification and annual DR tests, record results, and fix failures.</t>
  </si>
  <si>
    <t>ISO 27001:2022 A.8.13, A.5.30; NIST CSF 2.0 PR.DS-11, RC.RP-03; CIS v8.1 11.5; SOC 2 A1.3, CC7.5</t>
  </si>
  <si>
    <t>Ensure at least one recovery copy survives site loss and attacker deletion.</t>
  </si>
  <si>
    <t>Ransomware operators target backups first; immutable and offline copies determine whether recovery is possible without paying.</t>
  </si>
  <si>
    <t>Ransomware encrypting or deleting online backups, and same-site disaster.</t>
  </si>
  <si>
    <t>- Backup architecture diagram
- immutability and retention-lock settings
- off-site location contract
- deletion-protection configuration</t>
  </si>
  <si>
    <t>In a test scope, attempt deletion of a restore point using a production backup-admin account (expect denial).
Cloud checks: `aws s3api get-object-lock-configuration --bucket &lt;bucket&gt;`; Azure immutable storage policy; Veeam hardened repository settings.
Confirm geographic separation of the off-site copy.</t>
  </si>
  <si>
    <t>Cloud storage policy queries; backup platform configuration export.</t>
  </si>
  <si>
    <t>All backups are online in the same site.</t>
  </si>
  <si>
    <t>Off-site copy exists and a separate offline or immutable copy is maintained.</t>
  </si>
  <si>
    <t>Immutable, geographically separated copies with verified deletion protection and regular tests.</t>
  </si>
  <si>
    <t>Implement immutable or offline copies off-site and require dual authorisation for deletion.</t>
  </si>
  <si>
    <t>ISO 27001:2022 A.8.13, A.8.14; NIST CSF 2.0 PR.DS-11, PR.IR-03; CIS v8.1 11.3, 11.4; SOC 2 A1.2</t>
  </si>
  <si>
    <t>Protect confidentiality of backup data wherever it is stored or transmitted.</t>
  </si>
  <si>
    <t>Backups contain the full data set; their compromise is equivalent to a breach of the source systems.</t>
  </si>
  <si>
    <t>Theft or exposure of backup copies and interception in transit.</t>
  </si>
  <si>
    <t>- Backup job encryption settings
- key management records
- transport protocol configuration
- media handling standard
- courier and vault logs</t>
  </si>
  <si>
    <t>Inspect job settings for encryption and TLS.
Confirm key escrow is separate from the backup server.
Sample tape or media chain-of-custody records.
Confirm via capture or scan that backup traffic is encrypted.</t>
  </si>
  <si>
    <t>Backup platform configuration export; network protocol scan.</t>
  </si>
  <si>
    <t>Backups are unencrypted and media handling is informal.</t>
  </si>
  <si>
    <t>Encryption enabled with documented key management and media standard.</t>
  </si>
  <si>
    <t>End-to-end encryption with HSM or KMS-managed keys and audited media handling.</t>
  </si>
  <si>
    <t>Enable backup encryption, separate key management, and adopt a media handling standard.</t>
  </si>
  <si>
    <t>ISO 27001:2022 A.8.24, A.8.13, A.7.10; NIST CSF 2.0 PR.DS-01, PR.DS-02; CIS v8.1 3.10, 3.11, 11.3; SOC 2 CC6.7</t>
  </si>
  <si>
    <t>Prevent a single compromised administrator or domain from destroying both production and backups.</t>
  </si>
  <si>
    <t>Backup systems joined to the production domain are routinely compromised and wiped in ransomware attacks.</t>
  </si>
  <si>
    <t>Compromised domain administrator deleting production data and backups.</t>
  </si>
  <si>
    <t>- Backup server domain status
- admin role assignments
- MFA configuration
- firewall rules
- backup console audit logs</t>
  </si>
  <si>
    <t>Windows: `(Get-CimInstance Win32_ComputerSystem).PartOfDomain` to determine whether the backup server is domain-joined.
Review membership of backup administrator groups and MFA on the console.
Check that deletion and retention-change actions are audited and alerted.</t>
  </si>
  <si>
    <t>Backup platform audit log export; AD group membership reports.</t>
  </si>
  <si>
    <t>Backup servers are domain-joined and managed by domain administrators.</t>
  </si>
  <si>
    <t>Dedicated backup administrators with MFA and restricted network access.</t>
  </si>
  <si>
    <t>Isolated backup domain or workgroup, dual authorisation for destructive actions and alerts.</t>
  </si>
  <si>
    <t>Separate backup identities and network from production, require MFA, and alert on destructive actions.</t>
  </si>
  <si>
    <t>ISO 27001:2022 A.8.13, A.8.2, A.8.22; NIST CSF 2.0 PR.AA-05, PR.IR-01; CIS v8.1 5.4, 6.5, 11.3; SOC 2 CC6.1, CC6.3</t>
  </si>
  <si>
    <t>Protect data on disks, volumes and databases from exposure through theft or improper access to storage.</t>
  </si>
  <si>
    <t>Encryption at rest limits the impact of lost drives, snapshots and storage-level access.</t>
  </si>
  <si>
    <t>Data exposure from stolen disks, backups and snapshots.</t>
  </si>
  <si>
    <t>- BitLocker or LUKS status
- key escrow records (AD, Entra, KMS)
- database TDE settings
- virtual disk encryption</t>
  </si>
  <si>
    <t>Windows: `manage-bde -status` and `Get-BitLockerVolume`.
Linux: `lsblk -f` (look for crypto_LUKS) and `cryptsetup status &lt;name&gt;`.
SQL Server: `SELECT name,is_encrypted FROM sys.databases`.
Verify recovery key escrow and who can retrieve keys.</t>
  </si>
  <si>
    <t>BitLocker reports through Intune or MBAM; configuration management queries.</t>
  </si>
  <si>
    <t>No encryption at rest.</t>
  </si>
  <si>
    <t>Encryption on servers holding sensitive data with escrowed keys.</t>
  </si>
  <si>
    <t>Encryption everywhere with managed rotation and monitoring of key access.</t>
  </si>
  <si>
    <t>Enable disk and database encryption, escrow recovery keys, and restrict retrieval.</t>
  </si>
  <si>
    <t>NIST SP 800-111; NIST SP 800-52 Rev.2; CIS Control 3</t>
  </si>
  <si>
    <t>ISO 27001:2022 A.8.24; NIST CSF 2.0 PR.DS-01; CIS v8.1 3.11; SOC 2 CC6.1, CC6.7</t>
  </si>
  <si>
    <t>Ensure encrypted channels are actually strong and certificates are valid and managed.</t>
  </si>
  <si>
    <t>Weak protocols enable decryption and downgrade; expired certificates cause outages.</t>
  </si>
  <si>
    <t>Downgrade and adversary-in-the-middle attacks, weak cipher decryption, expired certificates.</t>
  </si>
  <si>
    <t>- TLS scan results
- certificate inventory with expiry dates
- SChannel or OpenSSL configuration
- cryptographic standard</t>
  </si>
  <si>
    <t>`nmap --script ssl-enum-ciphers -p 443,636,3389 &lt;ip&gt;` or `testssl.sh &lt;host&gt;:443`.
Windows: `Get-TlsCipherSuite` and the SCHANNEL registry keys under `HKLM\SYSTEM\CurrentControlSet\Control\SecurityProviders\SCHANNEL\Protocols`.
Linux: `openssl ciphers -v`; certificate expiry via `openssl s_client -connect &lt;host&gt;:443 | openssl x509 -noout -dates`.</t>
  </si>
  <si>
    <t>testssl.sh or SSL Labs-style scanning; certificate lifecycle management tools.</t>
  </si>
  <si>
    <t>Legacy protocols and unmanaged certificates.</t>
  </si>
  <si>
    <t>Cryptographic standard enforced on most services with certificate inventory.</t>
  </si>
  <si>
    <t>Automated crypto compliance scanning and certificate renewal.</t>
  </si>
  <si>
    <t>Disable legacy protocols and weak ciphers, inventory certificates, and automate renewal.</t>
  </si>
  <si>
    <t>ISO 27001:2022 A.8.24; NIST CSF 2.0 PR.DS-02; CIS v8.1 3.10; SOC 2 CC6.7</t>
  </si>
  <si>
    <t>Ensure storage uses file systems capable of enforcing permissions and that permissions are appropriate.</t>
  </si>
  <si>
    <t>Without enforceable permissions, any local or network user can read or alter sensitive data.</t>
  </si>
  <si>
    <t>Unauthorised data access or modification on file systems without permission enforcement.</t>
  </si>
  <si>
    <t>- File system listing
- permission baselines
- ACL exports for sensitive paths</t>
  </si>
  <si>
    <t>Windows: `Get-Volume | select DriveLetter,FileSystem` and `icacls D:\Data`.
Linux: `lsblk -f`, `mount | grep -E "vfat|ntfs-3g"`, `getfacl -R /srv/data | head`, and `findmnt` to check nodev, nosuid and noexec options where appropriate.</t>
  </si>
  <si>
    <t>Configuration management file system and ACL reports.</t>
  </si>
  <si>
    <t>Sensitive data on file systems without permission support.</t>
  </si>
  <si>
    <t>Access-control file systems with documented permission standards.</t>
  </si>
  <si>
    <t>Permissions baselined and monitored with automated drift detection.</t>
  </si>
  <si>
    <t>Migrate sensitive volumes to ACL-capable file systems and apply least-privilege permissions.</t>
  </si>
  <si>
    <t>ISO 27001:2022 A.8.3, A.5.15; NIST CSF 2.0 PR.AA-05, PR.DS-01; CIS v8.1 3.3; SOC 2 CC6.1, CC6.3</t>
  </si>
  <si>
    <t>1.2</t>
  </si>
  <si>
    <t>Maintain an accurate record of all servers, their role, owner and lifecycle.</t>
  </si>
  <si>
    <t>Unknown servers are unpatched, unmonitored and unowned, and are favoured footholds for attackers.</t>
  </si>
  <si>
    <t>Shadow or forgotten servers.</t>
  </si>
  <si>
    <t>- CMDB export
- network discovery results
- reconciliation report
- registration procedure</t>
  </si>
  <si>
    <t>Obtain discovery data (`nmap -sn &lt;subnets&gt;`, DHCP, DNS and ARP exports, hypervisor inventory, cloud APIs) and compare it with the CMDB.
Quantify unmatched hosts in both directions and check mandatory fields for completeness.</t>
  </si>
  <si>
    <t>Scheduled discovery reconciled with CMDB via API.</t>
  </si>
  <si>
    <t>No reliable server inventory.</t>
  </si>
  <si>
    <t>Maintained CMDB with a registration step in provisioning.</t>
  </si>
  <si>
    <t>Automated discovery and reconciliation with exceptions closed within defined time.</t>
  </si>
  <si>
    <t>Make registration part of provisioning and reconcile discovery with the CMDB at least monthly.</t>
  </si>
  <si>
    <t>ISO/IEC 27005; NIST SP 800-30 Rev.1; NIST SP 800-53 Rev.5 RA and SA families; ISO/IEC 27036 (supplier relationships)</t>
  </si>
  <si>
    <t>ISO 27001:2022 A.5.9; NIST CSF 2.0 ID.AM-01, ID.AM-02; CIS v8.1 1.1, 1.2; SOC 2 CC6.1</t>
  </si>
  <si>
    <t>10.1</t>
  </si>
  <si>
    <t>Ensure clear accountability and risk-based treatment of each server.</t>
  </si>
  <si>
    <t>Unclear ownership delays response and leaves patching, backup and monitoring unprioritised.</t>
  </si>
  <si>
    <t>Unmanaged systems and misprioritised protection.</t>
  </si>
  <si>
    <t>- Owner and administrator register
- management approval
- criticality and classification ratings
- RACI
- list of applications with administrators</t>
  </si>
  <si>
    <t>Sample 10 servers and verify named owners and administrators are current employees and approved.
Confirm criticality and classification drive patching, backup and monitoring tiers.
Verify application administrators are accountable for application-level compliance with the server standard.</t>
  </si>
  <si>
    <t>CMDB mandatory fields; HR-to-CMDB owner validation.</t>
  </si>
  <si>
    <t>Ownership is unknown or informal.</t>
  </si>
  <si>
    <t>Named owners and administrators recorded with criticality.</t>
  </si>
  <si>
    <t>Automated owner validation and risk-based service tiers driving controls.</t>
  </si>
  <si>
    <t>Make owner, administrators, criticality and classification mandatory CMDB fields with periodic validation.</t>
  </si>
  <si>
    <t>ISO 27001:2022 A.5.2, A.5.9, A.5.12, A.5.13; NIST CSF 2.0 GV.RR-02, ID.AM-05; CIS v8.1 1.1, 3.2; SOC 2 CC1.3</t>
  </si>
  <si>
    <t>8.1, 8.2</t>
  </si>
  <si>
    <t>Ensure risk is understood and formally accepted before a server enters service.</t>
  </si>
  <si>
    <t>Risk assessed after go-live is difficult to remediate and leaves leadership accepting unknown exposure.</t>
  </si>
  <si>
    <t>Unassessed systems deployed with unmanaged risk.</t>
  </si>
  <si>
    <t>- Risk assessment reports
- reviewer qualification
- risk acceptance forms
- review schedule</t>
  </si>
  <si>
    <t>Sample 5 new servers and verify the risk assessment date precedes go-live, the assessor, findings and the owner's risk acceptance.
Confirm re-assessment triggers and scheduled review dates exist.</t>
  </si>
  <si>
    <t>Workflow gate in provisioning requiring an attached assessment ID.</t>
  </si>
  <si>
    <t>No pre-production risk assessment.</t>
  </si>
  <si>
    <t>Standard assessment completed with owner acceptance for new servers.</t>
  </si>
  <si>
    <t>Threat-informed assessments integrated into provisioning with periodic reassessment.</t>
  </si>
  <si>
    <t>Introduce a mandatory pre-production risk assessment and risk acceptance step, and reassess on change.</t>
  </si>
  <si>
    <t>ISO 27001:2022 A.5.8, A.8.29; NIST CSF 2.0 ID.RA-05, ID.RA-06; CIS v8.1 N/A; SOC 2 CC3.2, CC8.1</t>
  </si>
  <si>
    <t>9.1, 9.2</t>
  </si>
  <si>
    <t>Manage risk introduced by vendors who administer, host or support servers.</t>
  </si>
  <si>
    <t>Third parties with privileged access are a leading supply-chain breach vector.</t>
  </si>
  <si>
    <t>Third-party compromise and unmanaged vendor access.</t>
  </si>
  <si>
    <t>- Contracts and security schedules
- vendor risk assessments
- third-party access list
- SOC 2 or ISO reports
- vendor remote-access logs</t>
  </si>
  <si>
    <t>Sample 3 contracts for required clauses.
Review vendor accounts and remote access methods (MFA, session recording, time-bound access).
Obtain assurance reports and map complementary user entity controls to internal controls.</t>
  </si>
  <si>
    <t>Vendor access reports from PAM; vendor risk platform integration.</t>
  </si>
  <si>
    <t>Vendors have standing access with no security terms.</t>
  </si>
  <si>
    <t>Contracts include security clauses and vendor access is controlled.</t>
  </si>
  <si>
    <t>Continuous vendor monitoring, just-in-time recorded access, and annual assurance review.</t>
  </si>
  <si>
    <t>Add security clauses and audit rights, enforce MFA and recorded just-in-time vendor access, and review assurance reports.</t>
  </si>
  <si>
    <t>ISO 27001:2022 A.5.19, A.5.20, A.5.21, A.5.22; NIST CSF 2.0 GV.SC-05, GV.SC-06; CIS v8.1 15.1, 15.4; SOC 2 CC9.2</t>
  </si>
  <si>
    <t>9.5</t>
  </si>
  <si>
    <t>Protect the interfaces that control all hosted workloads.</t>
  </si>
  <si>
    <t>Compromise of vCenter, an ESXi host or a Hyper-V or Proxmox management interface gives control of every VM and datastore.</t>
  </si>
  <si>
    <t>Management-plane exploitation, including ESXi and vCenter ransomware campaigns.</t>
  </si>
  <si>
    <t>- Management network design
- firewall rules
- external scan result
- certificate inventory
- access lists</t>
  </si>
  <si>
    <t>Scan public ranges for 443, 902, 8006, 5985 and 22 and compare with documented exposure.
From a user VLAN test reachability of management addresses.
VMware: `Get-VMHost | Get-VMHostFirewallException | where Enabled`. Proxmox: `pve-firewall status` and `ss -tlnp | grep -E "8006|22"`. Hyper-V: `Get-NetFirewallRule -DisplayGroup "Hyper-V*" -Enabled True`.</t>
  </si>
  <si>
    <t>External attack-surface scans; PowerCLI and PowerShell configuration reports.</t>
  </si>
  <si>
    <t>Management interfaces reachable from the user network or internet.</t>
  </si>
  <si>
    <t>Dedicated management network with firewall restrictions.</t>
  </si>
  <si>
    <t>Management plane behind jump hosts with MFA, continuous exposure monitoring and CA-issued certificates.</t>
  </si>
  <si>
    <t>Isolate management interfaces on a restricted network and remove any internet exposure.</t>
  </si>
  <si>
    <t>VMware vSphere Security Configuration Guide; Microsoft Hyper-V security documentation; CIS Benchmarks (VMware ESXi); Proxmox VE administration guide; NIST SP 800-125</t>
  </si>
  <si>
    <t>ISO 27001:2022 A.8.20, A.8.22, A.8.9; NIST CSF 2.0 PR.IR-01; CIS v8.1 4.6, 12.2; SOC 2 CC6.6</t>
  </si>
  <si>
    <t>Prevent unmanaged or shared privileged access to the virtualization layer.</t>
  </si>
  <si>
    <t>Local root accounts on hosts bypass SSO and MFA and are rarely monitored.</t>
  </si>
  <si>
    <t>Shared root credentials and bypass of central identity.</t>
  </si>
  <si>
    <t>- vCenter SSO and identity source configuration
- role and permission export
- host lockdown settings
- Proxmox realm and permission settings
- Hyper-V administrators group membership</t>
  </si>
  <si>
    <t>VMware: `Get-VMHost | select Name,@{N='Lockdown';E={$_.ExtensionData.Config.LockdownMode}}` and `Get-VIPermission | select Principal,Role,Entity`.
Hyper-V: `Get-LocalGroupMember "Hyper-V Administrators"`.
Proxmox: `pveum user list`, `pveum acl list`, and GUI Datacenter &gt; Permissions &gt; Two Factor.
Confirm the break-glass local account is vaulted and alerted.</t>
  </si>
  <si>
    <t>PowerCLI permission export; Proxmox API user and ACL export.</t>
  </si>
  <si>
    <t>Shared root credentials used directly on hosts.</t>
  </si>
  <si>
    <t>Central identity with role-based access and vaulted local accounts.</t>
  </si>
  <si>
    <t>MFA, lockdown mode and just-in-time access with alerting on any local account use.</t>
  </si>
  <si>
    <t>Integrate with central identity, enable lockdown mode, enforce MFA and vault local accounts.</t>
  </si>
  <si>
    <t>ISO 27001:2022 A.8.2, A.8.5, A.5.15; NIST CSF 2.0 PR.AA-03, PR.AA-05; CIS v8.1 5.4, 6.5, 6.7; SOC 2 CC6.1, CC6.3</t>
  </si>
  <si>
    <t>Reduce guest attack surface and data exposure through VM configuration.</t>
  </si>
  <si>
    <t>Forgotten snapshots, attached media and unmanaged VMs create hidden data exposure and escape surfaces.</t>
  </si>
  <si>
    <t>VM escape, snapshot data exposure, rogue or unmanaged VMs.</t>
  </si>
  <si>
    <t>- VM template hardening standard
- snapshot inventory
- VM hardware configuration
- guest tools versions</t>
  </si>
  <si>
    <t>VMware: `Get-VM | Get-Snapshot | select VM,Name,Created`, `Get-VM | Get-CDDrive | where {$_.IsoPath}`, and check isolation.tools settings against the VMware Security Configuration Guide.
Hyper-V: `Get-VMSnapshot -VMName *`, `Get-VMFirmware -VMName * | select VMName,SecureBoot`.
Proxmox: `qm list` and `qm config &lt;vmid&gt;` for unused USB, serial or CD devices.</t>
  </si>
  <si>
    <t>PowerCLI and PowerShell hardening audits.</t>
  </si>
  <si>
    <t>VMs created ad hoc from arbitrary media.</t>
  </si>
  <si>
    <t>Hardened templates with snapshot lifecycle limits.</t>
  </si>
  <si>
    <t>Templates versioned as code with automated compliance and snapshot expiry.</t>
  </si>
  <si>
    <t>Standardise hardened VM templates, delete stale snapshots, and remove unused virtual devices.</t>
  </si>
  <si>
    <t>ISO 27001:2022 A.8.9, A.8.19; NIST CSF 2.0 PR.PS-01; CIS v8.1 4.1, 4.8; SOC 2 CC6.1, CC7.1</t>
  </si>
  <si>
    <t>Prevent cross-VM and cross-zone access through virtual switching and storage networks.</t>
  </si>
  <si>
    <t>Flat virtual networks and open storage exports allow lateral movement and data theft below the guest OS.</t>
  </si>
  <si>
    <t>Sniffing, lateral movement across VMs, unauthorised storage mounts.</t>
  </si>
  <si>
    <t>- Virtual network diagram
- vSwitch security policy
- storage ACLs and LUN masking
- NFS export lists
- virtual firewall rules (NSX, Hyper-V extended ACLs, Proxmox SDN)</t>
  </si>
  <si>
    <t>VMware: `Get-VirtualSwitch | Get-SecurityPolicy` and `Get-VirtualPortGroup | Get-SecurityPolicy` (AllowPromiscuous, MacChanges and ForgedTransmits should be Reject); confirm vMotion uses a dedicated VLAN.
Hyper-V: `Get-VMNetworkAdapter * | select VMName,SwitchName,MacAddressSpoofing`.
Proxmox: review `/etc/network/interfaces` and datacenter firewall rules.
Verify iSCSI CHAP and NFS export restrictions.</t>
  </si>
  <si>
    <t>PowerCLI network policy exports; storage array configuration export.</t>
  </si>
  <si>
    <t>A single flat virtual network for all traffic.</t>
  </si>
  <si>
    <t>Separate VLANs for management, storage and workloads with secure switch policies.</t>
  </si>
  <si>
    <t>Micro-segmentation with distributed firewalling and monitored policy changes.</t>
  </si>
  <si>
    <t>Separate management, storage and workload networks, set secure vSwitch policies, and restrict storage exports.</t>
  </si>
  <si>
    <t>ISO 27001:2022 A.8.20, A.8.22; NIST CSF 2.0 PR.IR-01; CIS v8.1 12.2, 13.4; SOC 2 CC6.6</t>
  </si>
  <si>
    <t>Detect hypervisor tampering and reduce the impact of hypervisor-targeting ransomware.</t>
  </si>
  <si>
    <t>Attackers encrypt datastores directly from the hypervisor, bypassing guest-level protections.</t>
  </si>
  <si>
    <t>Hypervisor-targeting ransomware and undetected host tampering.</t>
  </si>
  <si>
    <t>- Syslog configuration
- SIEM source health
- ESXi service status
- configuration backups
- vendor hardening guide compliance</t>
  </si>
  <si>
    <t>VMware: `Get-VMHost | Get-VMHostSysLogServer`; `Get-VMHost | Get-VMHostService | where {$_.Key -in 'TSM','TSM-SSH'} | select VMHost,Key,Running`; `esxcli software acceptance get`; `Get-AdvancedSetting -Entity (Get-VMHost) -Name UserVars.ESXiShellTimeOut`; host configuration backup with `vim-cmd hostsvc/firmware/backup_config`.
Hyper-V: confirm forwarding of Microsoft-Windows-Hyper-V-* event logs.
Proxmox: `journalctl -u pveproxy`, rsyslog forwarding and Proxmox Backup Server jobs.</t>
  </si>
  <si>
    <t>PowerCLI compliance scripts; SIEM source monitoring.</t>
  </si>
  <si>
    <t>No hypervisor logging; SSH left enabled.</t>
  </si>
  <si>
    <t>Logs forwarded, SSH disabled by default, host configuration backed up.</t>
  </si>
  <si>
    <t>Detection use cases for hypervisor attacks, immutable datastore backups and tested recovery.</t>
  </si>
  <si>
    <t>Forward hypervisor logs, disable SSH and shell by default, back up host configuration, and test datastore recovery.</t>
  </si>
  <si>
    <t>ISO 27001:2022 A.8.15, A.8.16, A.8.13, A.8.9; NIST CSF 2.0 PR.PS-04, DE.CM-09, PR.DS-11; CIS v8.1 8.2, 8.9, 11.2; SOC 2 CC7.2, A1.2</t>
  </si>
  <si>
    <t>Framework Mapping Matrix</t>
  </si>
  <si>
    <t>ISO 27001:2022 clauses are mapped at family level (clauses 4-10 are management-system requirements; Annex A holds the controls). Verify all mappings against the licensed standards before issuing to a client.</t>
  </si>
  <si>
    <t>ISO 27001:2022 Clause</t>
  </si>
  <si>
    <t>ISO 27001:2022 Annex A</t>
  </si>
  <si>
    <t>NIST CSF 2.0 Function</t>
  </si>
  <si>
    <t>NIST CSF 2.0 Subcategory</t>
  </si>
  <si>
    <t>CIS v8.1 Control</t>
  </si>
  <si>
    <t>CIS v8.1 Safeguard</t>
  </si>
  <si>
    <t>SOC 2 CC Series</t>
  </si>
  <si>
    <t>SOC 2 Criteria</t>
  </si>
  <si>
    <t>OWASP ASVS 4.0.3 Chapter</t>
  </si>
  <si>
    <t>OWASP Top 10:2021</t>
  </si>
  <si>
    <t>ISO/IEC 27034 Category</t>
  </si>
  <si>
    <t>6.1.3, 8.1</t>
  </si>
  <si>
    <t>A.7.1, A.7.2, A.7.4, A.7.6</t>
  </si>
  <si>
    <t>Protect</t>
  </si>
  <si>
    <t>PR.AA-06</t>
  </si>
  <si>
    <t>N/A</t>
  </si>
  <si>
    <t>CC6</t>
  </si>
  <si>
    <t>CC6.4</t>
  </si>
  <si>
    <t>A.8.9, A.8.20, A.8.22</t>
  </si>
  <si>
    <t>PR.IR-01, PR.PS-01</t>
  </si>
  <si>
    <t>4, 12</t>
  </si>
  <si>
    <t>4.6, 12.2</t>
  </si>
  <si>
    <t>CC6.1, CC6.6</t>
  </si>
  <si>
    <t>A.7.10, A.8.9</t>
  </si>
  <si>
    <t>PR.PS-01</t>
  </si>
  <si>
    <t>4, 10</t>
  </si>
  <si>
    <t>4.8, 10.3</t>
  </si>
  <si>
    <t>CC6.7</t>
  </si>
  <si>
    <t>A.7.14, A.7.10, A.8.10</t>
  </si>
  <si>
    <t>Identify, Protect</t>
  </si>
  <si>
    <t>ID.AM-08, PR.DS-01</t>
  </si>
  <si>
    <t>3</t>
  </si>
  <si>
    <t>CC6.5</t>
  </si>
  <si>
    <t>A.8.9</t>
  </si>
  <si>
    <t>4</t>
  </si>
  <si>
    <t>4.1</t>
  </si>
  <si>
    <t>CC5, CC7</t>
  </si>
  <si>
    <t>CC5.2, CC7.1</t>
  </si>
  <si>
    <t>V14</t>
  </si>
  <si>
    <t>A05</t>
  </si>
  <si>
    <t>Runtime</t>
  </si>
  <si>
    <t>A.8.9, A.8.16</t>
  </si>
  <si>
    <t>Protect, Detect</t>
  </si>
  <si>
    <t>PR.PS-01, DE.CM-09</t>
  </si>
  <si>
    <t>CC7</t>
  </si>
  <si>
    <t>CC7.1</t>
  </si>
  <si>
    <t>A.8.9, A.8.19</t>
  </si>
  <si>
    <t>4.8</t>
  </si>
  <si>
    <t>A.5.10, A.8.5</t>
  </si>
  <si>
    <t>Govern</t>
  </si>
  <si>
    <t>GV.PO-01</t>
  </si>
  <si>
    <t>CC6.1</t>
  </si>
  <si>
    <t>PR.PS-01, PR.DS-06</t>
  </si>
  <si>
    <t>CC6.8</t>
  </si>
  <si>
    <t>A.8.32, A.8.9</t>
  </si>
  <si>
    <t>CC8</t>
  </si>
  <si>
    <t>CC8.1</t>
  </si>
  <si>
    <t>A.8.19, A.8.7</t>
  </si>
  <si>
    <t>PR.PS-05</t>
  </si>
  <si>
    <t>2</t>
  </si>
  <si>
    <t>2.3, 2.5</t>
  </si>
  <si>
    <t>A.8.8, A.5.37</t>
  </si>
  <si>
    <t>ID.RA-01, PR.PS-02</t>
  </si>
  <si>
    <t>7</t>
  </si>
  <si>
    <t>7.3, 7.4</t>
  </si>
  <si>
    <t>A06</t>
  </si>
  <si>
    <t>A.8.8</t>
  </si>
  <si>
    <t>7.3, 7.4, 7.7</t>
  </si>
  <si>
    <t>A.8.8, A.5.9</t>
  </si>
  <si>
    <t>ID.AM-08, PR.PS-02</t>
  </si>
  <si>
    <t>A.8.8, A.5.7</t>
  </si>
  <si>
    <t>Identify</t>
  </si>
  <si>
    <t>ID.RA-01, ID.RA-02</t>
  </si>
  <si>
    <t>7.7</t>
  </si>
  <si>
    <t>A.8.8, A.7.13</t>
  </si>
  <si>
    <t>PR.PS-02, PR.PS-03</t>
  </si>
  <si>
    <t>7.3</t>
  </si>
  <si>
    <t>6.1.3, 8.1, 9.1</t>
  </si>
  <si>
    <t>A.8.15, A.8.16</t>
  </si>
  <si>
    <t>PR.PS-04, DE.CM-09</t>
  </si>
  <si>
    <t>8</t>
  </si>
  <si>
    <t>8.2, 8.5</t>
  </si>
  <si>
    <t>CC7.2</t>
  </si>
  <si>
    <t>A09</t>
  </si>
  <si>
    <t>PR.PS-04, DE.CM-09, DE.AE-02</t>
  </si>
  <si>
    <t>8, 13</t>
  </si>
  <si>
    <t>8.9, 13.1</t>
  </si>
  <si>
    <t>A.8.15, A.5.33</t>
  </si>
  <si>
    <t>PR.PS-04</t>
  </si>
  <si>
    <t>8.3, 8.10</t>
  </si>
  <si>
    <t>A.8.15, A.5.34</t>
  </si>
  <si>
    <t>PR.DS-01, PR.PS-04</t>
  </si>
  <si>
    <t>3.3</t>
  </si>
  <si>
    <t>V7</t>
  </si>
  <si>
    <t>Detect</t>
  </si>
  <si>
    <t>DE.CM-09, DE.AE-02, DE.AE-03</t>
  </si>
  <si>
    <t>8.11, 13.1</t>
  </si>
  <si>
    <t>CC7.2, CC7.3</t>
  </si>
  <si>
    <t>A.8.17</t>
  </si>
  <si>
    <t>4, 8</t>
  </si>
  <si>
    <t>4.9, 8.4</t>
  </si>
  <si>
    <t>A.8.7</t>
  </si>
  <si>
    <t>DE.CM-09, PR.PS-05</t>
  </si>
  <si>
    <t>10</t>
  </si>
  <si>
    <t>10.1, 10.2, 10.7</t>
  </si>
  <si>
    <t>A.8.20, A.8.9</t>
  </si>
  <si>
    <t>PR.IR-01</t>
  </si>
  <si>
    <t>CC6.6</t>
  </si>
  <si>
    <t>A.8.7, A.8.9</t>
  </si>
  <si>
    <t>PR.PS-05, DE.CM-09</t>
  </si>
  <si>
    <t>10, 13</t>
  </si>
  <si>
    <t>10.5, 13.7</t>
  </si>
  <si>
    <t>CC6, CC7</t>
  </si>
  <si>
    <t>CC6.8, CC7.2</t>
  </si>
  <si>
    <t>A.8.16, A.8.9</t>
  </si>
  <si>
    <t>PR.DS-06, DE.CM-09</t>
  </si>
  <si>
    <t>6.1.2, 8.2, 9.1</t>
  </si>
  <si>
    <t>A.8.29, A.8.8, A.8.9</t>
  </si>
  <si>
    <t>ID.RA-01, PR.PS-01</t>
  </si>
  <si>
    <t>4, 7</t>
  </si>
  <si>
    <t>4.1, 7.5</t>
  </si>
  <si>
    <t>CC7, CC8</t>
  </si>
  <si>
    <t>CC7.1, CC8.1</t>
  </si>
  <si>
    <t>Verification</t>
  </si>
  <si>
    <t>ID.RA-01</t>
  </si>
  <si>
    <t>7.5, 7.6</t>
  </si>
  <si>
    <t>A.8.8, A.8.34</t>
  </si>
  <si>
    <t>7.5</t>
  </si>
  <si>
    <t>ID.RA-05, ID.RA-06</t>
  </si>
  <si>
    <t>7.1, 7.2, 7.7</t>
  </si>
  <si>
    <t>CC3, CC7</t>
  </si>
  <si>
    <t>CC7.1, CC3.2</t>
  </si>
  <si>
    <t>A.8.20, A.8.21, A.8.22</t>
  </si>
  <si>
    <t>PR.IR-01, ID.AM-03</t>
  </si>
  <si>
    <t>4, 12, 13</t>
  </si>
  <si>
    <t>4.4, 12.2, 13.4</t>
  </si>
  <si>
    <t>A.5.17, A.8.9</t>
  </si>
  <si>
    <t>PR.AA-01, PR.PS-01</t>
  </si>
  <si>
    <t>4, 5</t>
  </si>
  <si>
    <t>4.7, 5.2</t>
  </si>
  <si>
    <t>A.8.5, A.8.2</t>
  </si>
  <si>
    <t>PR.AA-03</t>
  </si>
  <si>
    <t>6</t>
  </si>
  <si>
    <t>6.5</t>
  </si>
  <si>
    <t>A07</t>
  </si>
  <si>
    <t>A.5.15, A.5.18, A.8.2, A.8.3</t>
  </si>
  <si>
    <t>PR.AA-05</t>
  </si>
  <si>
    <t>3, 5, 6</t>
  </si>
  <si>
    <t>3.3, 5.4, 6.8</t>
  </si>
  <si>
    <t>CC6.1, CC6.3</t>
  </si>
  <si>
    <t>A01</t>
  </si>
  <si>
    <t>A.5.16, A.5.18</t>
  </si>
  <si>
    <t>PR.AA-01, PR.AA-05</t>
  </si>
  <si>
    <t>5, 6</t>
  </si>
  <si>
    <t>5.3, 6.1, 6.2</t>
  </si>
  <si>
    <t>CC6.2, CC6.3</t>
  </si>
  <si>
    <t>A.5.16, A.5.17</t>
  </si>
  <si>
    <t>PR.AA-01</t>
  </si>
  <si>
    <t>5</t>
  </si>
  <si>
    <t>5.1, 5.2</t>
  </si>
  <si>
    <t>A.5.15, A.8.2, A.8.20</t>
  </si>
  <si>
    <t>PR.AA-05, ID.AM-03</t>
  </si>
  <si>
    <t>6.8</t>
  </si>
  <si>
    <t>A.8.2, A.5.17</t>
  </si>
  <si>
    <t>5.2, 5.4</t>
  </si>
  <si>
    <t>A.5.16, A.5.18, A.8.2</t>
  </si>
  <si>
    <t>5.2, 5.5</t>
  </si>
  <si>
    <t>CC6.1, CC6.2</t>
  </si>
  <si>
    <t>A.8.2, A.8.18</t>
  </si>
  <si>
    <t>5.4, 6.8</t>
  </si>
  <si>
    <t>CC6.3</t>
  </si>
  <si>
    <t>A.8.5, A.8.21, A.8.24</t>
  </si>
  <si>
    <t>PR.DS-02, PR.AA-03</t>
  </si>
  <si>
    <t>3, 4</t>
  </si>
  <si>
    <t>3.10, 4.6</t>
  </si>
  <si>
    <t>CC6.1, CC6.7</t>
  </si>
  <si>
    <t>A.8.2, A.8.20</t>
  </si>
  <si>
    <t>PR.AA-05, PR.IR-01</t>
  </si>
  <si>
    <t>4.6, 12.8</t>
  </si>
  <si>
    <t>A.8.13, A.5.29, A.5.30</t>
  </si>
  <si>
    <t>PR.DS-11, ID.AM-05</t>
  </si>
  <si>
    <t>11</t>
  </si>
  <si>
    <t>11.1, 11.2</t>
  </si>
  <si>
    <t>CC9</t>
  </si>
  <si>
    <t>A1.2, CC9.1</t>
  </si>
  <si>
    <t>A.5.30, A.5.29</t>
  </si>
  <si>
    <t>Recover</t>
  </si>
  <si>
    <t>RC.RP-01</t>
  </si>
  <si>
    <t>A1.3, CC9.1</t>
  </si>
  <si>
    <t>A.8.13, A.5.30</t>
  </si>
  <si>
    <t>Protect, Recover</t>
  </si>
  <si>
    <t>PR.DS-11, RC.RP-03</t>
  </si>
  <si>
    <t>11.5</t>
  </si>
  <si>
    <t>A1.3, CC7.5</t>
  </si>
  <si>
    <t>A.8.13, A.8.14</t>
  </si>
  <si>
    <t>PR.DS-11, PR.IR-03</t>
  </si>
  <si>
    <t>11.3, 11.4</t>
  </si>
  <si>
    <t>A1</t>
  </si>
  <si>
    <t>A1.2</t>
  </si>
  <si>
    <t>A.8.24, A.8.13, A.7.10</t>
  </si>
  <si>
    <t>PR.DS-01, PR.DS-02</t>
  </si>
  <si>
    <t>3, 11</t>
  </si>
  <si>
    <t>3.10, 3.11, 11.3</t>
  </si>
  <si>
    <t>A.8.13, A.8.2, A.8.22</t>
  </si>
  <si>
    <t>5, 6, 11</t>
  </si>
  <si>
    <t>5.4, 6.5, 11.3</t>
  </si>
  <si>
    <t>A.8.24</t>
  </si>
  <si>
    <t>PR.DS-01</t>
  </si>
  <si>
    <t>3.11</t>
  </si>
  <si>
    <t>PR.DS-02</t>
  </si>
  <si>
    <t>3.10</t>
  </si>
  <si>
    <t>V9</t>
  </si>
  <si>
    <t>A02</t>
  </si>
  <si>
    <t>A.8.3, A.5.15</t>
  </si>
  <si>
    <t>PR.AA-05, PR.DS-01</t>
  </si>
  <si>
    <t>5.3, 6.1.2, 8.2</t>
  </si>
  <si>
    <t>A.5.9</t>
  </si>
  <si>
    <t>ID.AM-01, ID.AM-02</t>
  </si>
  <si>
    <t>1</t>
  </si>
  <si>
    <t>1.1, 1.2</t>
  </si>
  <si>
    <t>A.5.2, A.5.9, A.5.12, A.5.13</t>
  </si>
  <si>
    <t>Govern, Identify</t>
  </si>
  <si>
    <t>GV.RR-02, ID.AM-05</t>
  </si>
  <si>
    <t>1, 3</t>
  </si>
  <si>
    <t>1.1, 3.2</t>
  </si>
  <si>
    <t>CC1</t>
  </si>
  <si>
    <t>CC1.3</t>
  </si>
  <si>
    <t>A.5.8, A.8.29</t>
  </si>
  <si>
    <t>CC3, CC8</t>
  </si>
  <si>
    <t>CC3.2, CC8.1</t>
  </si>
  <si>
    <t>A.5.19, A.5.20, A.5.21, A.5.22</t>
  </si>
  <si>
    <t>GV.SC-05, GV.SC-06</t>
  </si>
  <si>
    <t>15</t>
  </si>
  <si>
    <t>15.1, 15.4</t>
  </si>
  <si>
    <t>CC9.2</t>
  </si>
  <si>
    <t>A.8.20, A.8.22, A.8.9</t>
  </si>
  <si>
    <t>A.8.2, A.8.5, A.5.15</t>
  </si>
  <si>
    <t>PR.AA-03, PR.AA-05</t>
  </si>
  <si>
    <t>5.4, 6.5, 6.7</t>
  </si>
  <si>
    <t>4.1, 4.8</t>
  </si>
  <si>
    <t>CC6.1, CC7.1</t>
  </si>
  <si>
    <t>A.8.20, A.8.22</t>
  </si>
  <si>
    <t>12, 13</t>
  </si>
  <si>
    <t>12.2, 13.4</t>
  </si>
  <si>
    <t>A.8.15, A.8.16, A.8.13, A.8.9</t>
  </si>
  <si>
    <t>PR.PS-04, DE.CM-09, PR.DS-11</t>
  </si>
  <si>
    <t>8, 11</t>
  </si>
  <si>
    <t>8.2, 8.9, 11.2</t>
  </si>
  <si>
    <t>CC7.2, A1.2</t>
  </si>
  <si>
    <t>ASVS: the specification asks for V1-V14 (ASVS 4.0.3). ASVS 5.0 (2025) restructured the chapters; confirm the target version before the Application Security batch. OWASP Top 10 mapped to the 2021 edition.</t>
  </si>
  <si>
    <t>MITRE ATT&amp;CK Matrix</t>
  </si>
  <si>
    <t>Technique IDs per tactic that the control helps prevent or detect. Row 3 counts controls per tactic. Re-validate technique IDs against the current ATT&amp;CK release when upgrading.</t>
  </si>
  <si>
    <t>Controls mapped per tactic</t>
  </si>
  <si>
    <t>Initial Access</t>
  </si>
  <si>
    <t>Execution</t>
  </si>
  <si>
    <t>Persistence</t>
  </si>
  <si>
    <t>Privilege Escalation</t>
  </si>
  <si>
    <t>Defense Evasion</t>
  </si>
  <si>
    <t>Credential Access</t>
  </si>
  <si>
    <t>Discovery</t>
  </si>
  <si>
    <t>Lateral Movement</t>
  </si>
  <si>
    <t>Collection</t>
  </si>
  <si>
    <t>Exfiltration</t>
  </si>
  <si>
    <t>Impact</t>
  </si>
  <si>
    <t>Technique ID</t>
  </si>
  <si>
    <t>Technique name</t>
  </si>
  <si>
    <t>Controls mapped</t>
  </si>
  <si>
    <t>T1200</t>
  </si>
  <si>
    <t>T1003</t>
  </si>
  <si>
    <t>OS Credential Dumping</t>
  </si>
  <si>
    <t>T1190</t>
  </si>
  <si>
    <t>T1542.001</t>
  </si>
  <si>
    <t>T1005</t>
  </si>
  <si>
    <t>Data from Local System</t>
  </si>
  <si>
    <t>T1091</t>
  </si>
  <si>
    <t>T1014</t>
  </si>
  <si>
    <t>Rootkit</t>
  </si>
  <si>
    <t>T1018</t>
  </si>
  <si>
    <t>Remote System Discovery</t>
  </si>
  <si>
    <t>T1059</t>
  </si>
  <si>
    <t>T1562</t>
  </si>
  <si>
    <t>T1021</t>
  </si>
  <si>
    <t>Remote Services</t>
  </si>
  <si>
    <t>T1543</t>
  </si>
  <si>
    <t>T1021.001</t>
  </si>
  <si>
    <t>Remote Desktop Protocol</t>
  </si>
  <si>
    <t>T1021.004</t>
  </si>
  <si>
    <t>SSH</t>
  </si>
  <si>
    <t>T1040</t>
  </si>
  <si>
    <t>Network Sniffing</t>
  </si>
  <si>
    <t>T1542</t>
  </si>
  <si>
    <t>T1046</t>
  </si>
  <si>
    <t>Network Service Discovery</t>
  </si>
  <si>
    <t>T1048</t>
  </si>
  <si>
    <t>Exfiltration Over Alternative Protocol</t>
  </si>
  <si>
    <t>T1574</t>
  </si>
  <si>
    <t>T1486</t>
  </si>
  <si>
    <t>Command and Scripting Interpreter</t>
  </si>
  <si>
    <t>T1068</t>
  </si>
  <si>
    <t>Exploitation for Privilege Escalation</t>
  </si>
  <si>
    <t>T1070</t>
  </si>
  <si>
    <t>Indicator Removal</t>
  </si>
  <si>
    <t>T1070.001</t>
  </si>
  <si>
    <t>Clear Windows Event Logs</t>
  </si>
  <si>
    <t>T1070.002</t>
  </si>
  <si>
    <t>Clear Linux or Mac System Logs</t>
  </si>
  <si>
    <t>T1078</t>
  </si>
  <si>
    <t>Valid Accounts</t>
  </si>
  <si>
    <t>T1562.002, T1070.001</t>
  </si>
  <si>
    <t>T1078.001</t>
  </si>
  <si>
    <t>Default Accounts</t>
  </si>
  <si>
    <t>T1070.001, T1070.002, T1562.002</t>
  </si>
  <si>
    <t>Replication Through Removable Media</t>
  </si>
  <si>
    <t>T1110</t>
  </si>
  <si>
    <t>Brute Force</t>
  </si>
  <si>
    <t>T1552.001</t>
  </si>
  <si>
    <t>T1133</t>
  </si>
  <si>
    <t>External Remote Services</t>
  </si>
  <si>
    <t>T1070, T1562</t>
  </si>
  <si>
    <t>T1136</t>
  </si>
  <si>
    <t>Create Account</t>
  </si>
  <si>
    <t>T1557</t>
  </si>
  <si>
    <t>Exploit Public-Facing Application</t>
  </si>
  <si>
    <t>T1562.001</t>
  </si>
  <si>
    <t>T1195</t>
  </si>
  <si>
    <t>Supply Chain Compromise</t>
  </si>
  <si>
    <t>T1562.004</t>
  </si>
  <si>
    <t>T1199</t>
  </si>
  <si>
    <t>Trusted Relationship</t>
  </si>
  <si>
    <t>Hardware Additions</t>
  </si>
  <si>
    <t>T1505, T1547</t>
  </si>
  <si>
    <t>T1222</t>
  </si>
  <si>
    <t>File and Directory Permissions Modification</t>
  </si>
  <si>
    <t>T1485</t>
  </si>
  <si>
    <t>Data Destruction</t>
  </si>
  <si>
    <t>Data Encrypted for Impact</t>
  </si>
  <si>
    <t>T1552</t>
  </si>
  <si>
    <t>T1490</t>
  </si>
  <si>
    <t>Inhibit System Recovery</t>
  </si>
  <si>
    <t>T1505</t>
  </si>
  <si>
    <t>Server Software Component</t>
  </si>
  <si>
    <t>T1190, T1133</t>
  </si>
  <si>
    <t>Pre-OS Boot</t>
  </si>
  <si>
    <t>System Firmware</t>
  </si>
  <si>
    <t>T1021.001, T1021.004</t>
  </si>
  <si>
    <t>Create or Modify System Process</t>
  </si>
  <si>
    <t>T1078, T1548</t>
  </si>
  <si>
    <t>T1547</t>
  </si>
  <si>
    <t>Boot or Logon Autostart Execution</t>
  </si>
  <si>
    <t>T1548</t>
  </si>
  <si>
    <t>Abuse Elevation Control Mechanism</t>
  </si>
  <si>
    <t>T1548.003</t>
  </si>
  <si>
    <t>Sudo and Sudo Caching</t>
  </si>
  <si>
    <t>T1021, T1550</t>
  </si>
  <si>
    <t>T1550</t>
  </si>
  <si>
    <t>Use Alternate Authentication Material</t>
  </si>
  <si>
    <t>Unsecured Credentials</t>
  </si>
  <si>
    <t>T1558.003</t>
  </si>
  <si>
    <t>Credentials In Files</t>
  </si>
  <si>
    <t>Adversary-in-the-Middle</t>
  </si>
  <si>
    <t>T1040, T1557</t>
  </si>
  <si>
    <t>Kerberoasting</t>
  </si>
  <si>
    <t>Impair Defenses</t>
  </si>
  <si>
    <t>T1486, T1485, T1490</t>
  </si>
  <si>
    <t>Disable or Modify Tools</t>
  </si>
  <si>
    <t>T1562.002</t>
  </si>
  <si>
    <t>Disable Windows Event Logging</t>
  </si>
  <si>
    <t>Disable or Modify System Firewall</t>
  </si>
  <si>
    <t>T1490, T1485</t>
  </si>
  <si>
    <t>Hijack Execution Flow</t>
  </si>
  <si>
    <t>T1611</t>
  </si>
  <si>
    <t>Escape to Host</t>
  </si>
  <si>
    <t>Counts include sub-techniques of a parent ID.</t>
  </si>
  <si>
    <t>T1557, T1040</t>
  </si>
  <si>
    <t>T1195, T1199</t>
  </si>
  <si>
    <t>Zero Trust Matrix</t>
  </si>
  <si>
    <t>Pillar coverage of each control. Row 2 shows pillar totals; row 3 shows share of controls touching each pillar.</t>
  </si>
  <si>
    <t>Controls per pillar</t>
  </si>
  <si>
    <t>Share of controls</t>
  </si>
  <si>
    <t>Device</t>
  </si>
  <si>
    <t>Network</t>
  </si>
  <si>
    <t>Application</t>
  </si>
  <si>
    <t>Data</t>
  </si>
  <si>
    <t>Infrastructure</t>
  </si>
  <si>
    <t>Pillars</t>
  </si>
  <si>
    <t>Maturity Model (0-5)</t>
  </si>
  <si>
    <t>Score the lowest level that is fully evidenced. Design alone never exceeds level 3; level 4 requires evidence of measurement.</t>
  </si>
  <si>
    <t>Level</t>
  </si>
  <si>
    <t>Name</t>
  </si>
  <si>
    <t>Definition</t>
  </si>
  <si>
    <t>Typical evidence</t>
  </si>
  <si>
    <t>Coverage</t>
  </si>
  <si>
    <t>Characteristics</t>
  </si>
  <si>
    <t>Non-Existent</t>
  </si>
  <si>
    <t>No control, no awareness of the need, or the control cannot be demonstrated.</t>
  </si>
  <si>
    <t>None.</t>
  </si>
  <si>
    <t>0%</t>
  </si>
  <si>
    <t>Risk is unmanaged.</t>
  </si>
  <si>
    <t>Initial</t>
  </si>
  <si>
    <t>Ad hoc and informal; depends on individuals; not documented.</t>
  </si>
  <si>
    <t>Anecdotal; interviews only.</t>
  </si>
  <si>
    <t>Under 25% of scope</t>
  </si>
  <si>
    <t>Inconsistent results; heroics.</t>
  </si>
  <si>
    <t>Repeatable</t>
  </si>
  <si>
    <t>Similar tasks are done similarly but not consistently documented or approved.</t>
  </si>
  <si>
    <t>Some procedures, partial configurations, ad hoc records.</t>
  </si>
  <si>
    <t>25% to 74% of scope</t>
  </si>
  <si>
    <t>Works when the right person is present.</t>
  </si>
  <si>
    <t>Defined</t>
  </si>
  <si>
    <t>Documented, approved, communicated and consistently implemented across scope; operating evidence exists.</t>
  </si>
  <si>
    <t>Approved policy or standard plus configuration or log evidence of operation.</t>
  </si>
  <si>
    <t>75% or more of scope</t>
  </si>
  <si>
    <t>Standard practice; exceptions are known.</t>
  </si>
  <si>
    <t>Managed</t>
  </si>
  <si>
    <t>Measured and monitored with metrics; exceptions governed; regular management review.</t>
  </si>
  <si>
    <t>KPIs or KRIs, trend reports, review minutes, tested results.</t>
  </si>
  <si>
    <t>90% or more of scope</t>
  </si>
  <si>
    <t>Quantitatively managed and reviewed.</t>
  </si>
  <si>
    <t>Optimized</t>
  </si>
  <si>
    <t>Continuously improved, automated and threat-informed; assurance is built in.</t>
  </si>
  <si>
    <t>Automated compliance, validation testing, improvement records.</t>
  </si>
  <si>
    <t>95% or more with automation</t>
  </si>
  <si>
    <t>Proactive; improvement is routine.</t>
  </si>
  <si>
    <t>Scoring rules</t>
  </si>
  <si>
    <t>1. Evidence cap: a score above 1 requires at least one piece of operating evidence (not just a policy). Interview-only evidence caps the score at 2.</t>
  </si>
  <si>
    <t>2. Coverage cap: if the control covers under 50% of in-scope assets, the maximum is 2; under 90%, the maximum is 3.</t>
  </si>
  <si>
    <t>3. Design vs operation: documented design without proof of operation caps the score at 2; consistent operation proven by sampling supports 3.</t>
  </si>
  <si>
    <t>4. Level 4 requires measurement (metrics, reviews, tested outcomes) in addition to level 3 criteria. Level 5 requires automation or continuous assurance.</t>
  </si>
  <si>
    <t>5. Use the per-control anchors (Control_Library columns for L1, L3, L5) to calibrate. Interpolate L2 and L4 as "between" the anchors.</t>
  </si>
  <si>
    <t>6. Record the evidence ID used for each score in the Assessment sheet so any score can be re-performed by a reviewer.</t>
  </si>
  <si>
    <t>Risk Model</t>
  </si>
  <si>
    <t>Inherent risk = Likelihood x Impact (1-25). Residual risk = Inherent x (1 - control effectiveness at assessed maturity). Edit blue cells to calibrate to the client.</t>
  </si>
  <si>
    <t>Likelihood scale (probability that the control weakness is exploited or fails within 12 months)</t>
  </si>
  <si>
    <t>Label</t>
  </si>
  <si>
    <t>Rare</t>
  </si>
  <si>
    <t>Needs highly skilled, targeted effort; not exposed, or multiple strong compensating controls.</t>
  </si>
  <si>
    <t>Unlikely</t>
  </si>
  <si>
    <t>Exploitation needs privileged access or unusual conditions.</t>
  </si>
  <si>
    <t>Possible</t>
  </si>
  <si>
    <t>A motivated attacker with moderate skill could exploit it using known techniques.</t>
  </si>
  <si>
    <t>Likely</t>
  </si>
  <si>
    <t>Commodity tooling or a common technique in this sector; plausible within the year.</t>
  </si>
  <si>
    <t>Almost certain</t>
  </si>
  <si>
    <t>Actively exploited in the wild, trivially exploitable, or already exposed.</t>
  </si>
  <si>
    <t>Impact scale (illustrative defaults - replace thresholds with the client risk appetite statement)</t>
  </si>
  <si>
    <t>Financial</t>
  </si>
  <si>
    <t>Operational</t>
  </si>
  <si>
    <t>Regulatory and legal</t>
  </si>
  <si>
    <t>Reputational</t>
  </si>
  <si>
    <t>Data / confidentiality</t>
  </si>
  <si>
    <t>Negligible</t>
  </si>
  <si>
    <t>Under 0.1% of annual revenue</t>
  </si>
  <si>
    <t>No noticeable disruption</t>
  </si>
  <si>
    <t>No notification or findings</t>
  </si>
  <si>
    <t>No external awareness</t>
  </si>
  <si>
    <t>No sensitive data affected</t>
  </si>
  <si>
    <t>Minor</t>
  </si>
  <si>
    <t>0.1% to 0.5% of annual revenue</t>
  </si>
  <si>
    <t>Short disruption of a non-critical service (under 4h)</t>
  </si>
  <si>
    <t>Minor policy breach, internal finding</t>
  </si>
  <si>
    <t>Limited internal awareness</t>
  </si>
  <si>
    <t>Small amount of internal data</t>
  </si>
  <si>
    <t>Moderate</t>
  </si>
  <si>
    <t>0.5% to 2% of annual revenue</t>
  </si>
  <si>
    <t>Disruption of a business service (4h to 24h)</t>
  </si>
  <si>
    <t>Audit finding or possible regulator notification</t>
  </si>
  <si>
    <t>Customer complaints, local media</t>
  </si>
  <si>
    <t>Confidential data, limited volume</t>
  </si>
  <si>
    <t>Major</t>
  </si>
  <si>
    <t>2% to 5% of annual revenue</t>
  </si>
  <si>
    <t>Multi-day outage of a critical service</t>
  </si>
  <si>
    <t>Regulatory investigation or fines likely</t>
  </si>
  <si>
    <t>National media, customer loss</t>
  </si>
  <si>
    <t>Large volume of confidential or personal data</t>
  </si>
  <si>
    <t>Severe</t>
  </si>
  <si>
    <t>Over 5% of annual revenue or threatens viability</t>
  </si>
  <si>
    <t>Prolonged enterprise-wide outage; safety impact</t>
  </si>
  <si>
    <t>Licence at risk, major fines, prosecution</t>
  </si>
  <si>
    <t>Sustained loss of trust</t>
  </si>
  <si>
    <t>Mass exposure of regulated or crown-jewel data</t>
  </si>
  <si>
    <t>Inherent risk matrix (Likelihood x Impact)</t>
  </si>
  <si>
    <t>L \ I</t>
  </si>
  <si>
    <t>Rating bands (lower bound is inclusive; used by every rating formula in the workbook)</t>
  </si>
  <si>
    <t>Residual scores can be fractional, so band 0 starts at zero.</t>
  </si>
  <si>
    <t>Lower bound</t>
  </si>
  <si>
    <t>Expected response</t>
  </si>
  <si>
    <t>Suggested remediation timeline</t>
  </si>
  <si>
    <t>Accept or monitor; address in normal improvement cycle.</t>
  </si>
  <si>
    <t>Within 12 months</t>
  </si>
  <si>
    <t>Plan and fund remediation; owner assigned.</t>
  </si>
  <si>
    <t>Within 6 months</t>
  </si>
  <si>
    <t>Prioritised remediation; monthly reporting to management.</t>
  </si>
  <si>
    <t>Within 90 days</t>
  </si>
  <si>
    <t>Immediate escalation to CISO and executive risk owner.</t>
  </si>
  <si>
    <t>Within 30 days or compensating control now</t>
  </si>
  <si>
    <t>Control effectiveness by maturity level (drives residual risk)</t>
  </si>
  <si>
    <t>Assumption: calibrated judgement of how much risk a control removes at each maturity level. Tune per client or sector and record any change in the engagement file.</t>
  </si>
  <si>
    <t>Maturity</t>
  </si>
  <si>
    <t>Level name</t>
  </si>
  <si>
    <t>Risk reduction</t>
  </si>
  <si>
    <t>Business impact is captured per risk (Risk_Register column Q) using the five impact dimensions above.</t>
  </si>
  <si>
    <t>Domain Registry and Build Status</t>
  </si>
  <si>
    <t>Targets for domains 1-15 come from the project specification (sum 855). Domain 16 target is an assumption. "Controls built" is a live count from Control_Library.</t>
  </si>
  <si>
    <t>No.</t>
  </si>
  <si>
    <t>Code</t>
  </si>
  <si>
    <t>Scope</t>
  </si>
  <si>
    <t>Target controls</t>
  </si>
  <si>
    <t>Controls built</t>
  </si>
  <si>
    <t>% of target</t>
  </si>
  <si>
    <t>Proposed batch</t>
  </si>
  <si>
    <t>GOV</t>
  </si>
  <si>
    <t>Security strategy, program, policies, standards, procedures, framework alignment, risk governance, third-party governance</t>
  </si>
  <si>
    <t>Batch 2</t>
  </si>
  <si>
    <t>AST</t>
  </si>
  <si>
    <t>Asset inventory, discovery, shadow IT, software, hardware, cloud assets, SaaS assets</t>
  </si>
  <si>
    <t>IAM</t>
  </si>
  <si>
    <t>Active Directory (forest, trusts, tiering, admin accounts, GPO), Entra ID (MFA, Conditional Access, Identity Protection, access reviews, PIM), PAM (sessions, vaulting, JIT)</t>
  </si>
  <si>
    <t>Batch 1</t>
  </si>
  <si>
    <t>END</t>
  </si>
  <si>
    <t>Windows, Linux, macOS, iOS, Android (including mobile device management)</t>
  </si>
  <si>
    <t>Batch 3</t>
  </si>
  <si>
    <t>SRV</t>
  </si>
  <si>
    <t>Windows Server, Linux Server, Hyper-V, VMware, Proxmox</t>
  </si>
  <si>
    <t>Pilot (built)</t>
  </si>
  <si>
    <t>NET</t>
  </si>
  <si>
    <t>Routers, switches, firewalls, VPN, wireless, NAC, IDS/IPS, DNS, proxy</t>
  </si>
  <si>
    <t>M365</t>
  </si>
  <si>
    <t>Exchange, Teams, SharePoint, OneDrive, Purview, Defender, Intune, Entra</t>
  </si>
  <si>
    <t>CLD</t>
  </si>
  <si>
    <t>Azure, AWS, GCP: IAM, networking, storage, monitoring, logging, containers and Kubernetes</t>
  </si>
  <si>
    <t>APP</t>
  </si>
  <si>
    <t>Secure SDLC, architecture, authentication, authorization, input validation, logging, secrets management</t>
  </si>
  <si>
    <t>Batch 4</t>
  </si>
  <si>
    <t>API</t>
  </si>
  <si>
    <t>OAuth, OIDC, JWT, rate limiting, API gateway, API logging</t>
  </si>
  <si>
    <t>SOC</t>
  </si>
  <si>
    <t>Logging, SIEM, SOAR, threat intelligence, detection engineering, incident response</t>
  </si>
  <si>
    <t>VLM</t>
  </si>
  <si>
    <t>Discovery, scanning, prioritization, remediation, validation</t>
  </si>
  <si>
    <t>DPR</t>
  </si>
  <si>
    <t>Classification, encryption, DLP, retention, privacy</t>
  </si>
  <si>
    <t>BKP</t>
  </si>
  <si>
    <t>Backups, replication, recovery, DR testing</t>
  </si>
  <si>
    <t>DSO</t>
  </si>
  <si>
    <t>CI/CD, repositories, secrets, containers, IaC</t>
  </si>
  <si>
    <t>GWS</t>
  </si>
  <si>
    <t>Admin console, identity and 2SV, Gmail, Drive, Meet, DLP, context-aware access (target 50 is an assumption)</t>
  </si>
  <si>
    <t>OT</t>
  </si>
  <si>
    <t>Reserved for operational technology and industrial control systems</t>
  </si>
  <si>
    <t>Placeholder</t>
  </si>
  <si>
    <t>AI</t>
  </si>
  <si>
    <t>Reserved for AI/ML systems, model supply chain, and AI governance</t>
  </si>
  <si>
    <t>Note: the specification states a 700+ control goal; its per-domain targets add up to 855 (905 with domain 16).</t>
  </si>
  <si>
    <t>Lists (drop-down sources)</t>
  </si>
  <si>
    <t>Finding status</t>
  </si>
  <si>
    <t>Remediation status</t>
  </si>
  <si>
    <t>Risk treatment</t>
  </si>
  <si>
    <t>Evidence type</t>
  </si>
  <si>
    <t>Evidence review</t>
  </si>
  <si>
    <t>Collection method</t>
  </si>
  <si>
    <t>Yes/No</t>
  </si>
  <si>
    <t>Request status</t>
  </si>
  <si>
    <t>Path category</t>
  </si>
  <si>
    <t>Score 1-5</t>
  </si>
  <si>
    <t>Business impact</t>
  </si>
  <si>
    <t>Not Started</t>
  </si>
  <si>
    <t>P1 - Urgent</t>
  </si>
  <si>
    <t>Pending</t>
  </si>
  <si>
    <t>Public</t>
  </si>
  <si>
    <t>External</t>
  </si>
  <si>
    <t>Accept</t>
  </si>
  <si>
    <t>Configuration Export</t>
  </si>
  <si>
    <t>Automated</t>
  </si>
  <si>
    <t>No</t>
  </si>
  <si>
    <t>Internal</t>
  </si>
  <si>
    <t>Requested</t>
  </si>
  <si>
    <t>Remediated</t>
  </si>
  <si>
    <t>Blocked</t>
  </si>
  <si>
    <t>P3 - Medium</t>
  </si>
  <si>
    <t>Transfer</t>
  </si>
  <si>
    <t>Audit Report</t>
  </si>
  <si>
    <t>Rejected</t>
  </si>
  <si>
    <t>Client-provided</t>
  </si>
  <si>
    <t>Received</t>
  </si>
  <si>
    <t>Cloud</t>
  </si>
  <si>
    <t>Risk Accepted</t>
  </si>
  <si>
    <t>Completed</t>
  </si>
  <si>
    <t>P4 - Low</t>
  </si>
  <si>
    <t>Avoid</t>
  </si>
  <si>
    <t>System Log</t>
  </si>
  <si>
    <t>Needs more</t>
  </si>
  <si>
    <t>Partial</t>
  </si>
  <si>
    <t>Closed</t>
  </si>
  <si>
    <t>Verified</t>
  </si>
  <si>
    <t>Policy Document</t>
  </si>
  <si>
    <t>Not available</t>
  </si>
  <si>
    <t>Supply Chain</t>
  </si>
  <si>
    <t>Safety</t>
  </si>
  <si>
    <t>Deferred</t>
  </si>
  <si>
    <t>Network Diagram</t>
  </si>
  <si>
    <t>Firewall Export</t>
  </si>
  <si>
    <t>Azure Export</t>
  </si>
  <si>
    <t>AWS Report</t>
  </si>
  <si>
    <t>GCP Export</t>
  </si>
  <si>
    <t>M365 Report</t>
  </si>
  <si>
    <t>Architecture Document</t>
  </si>
  <si>
    <t>Interview Notes</t>
  </si>
  <si>
    <t>Scan Report</t>
  </si>
  <si>
    <t>Observation Record</t>
  </si>
  <si>
    <t>Script Output</t>
  </si>
  <si>
    <t>Assessment workbook v0.1 (Phase 0 + Server Security pilot)  |  built 2025-11-28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</si>
</sst>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00"/>
  </numFmts>
  <fonts count="14" x14ac:knownFonts="1">
    <font>
      <sz val="11"/>
      <color theme="1"/>
      <name val="Calibri"/>
      <family val="2"/>
      <charset val="1"/>
    </font>
    <font>
      <b/>
      <sz val="20"/>
      <color rgb="FF1F3864"/>
      <name val="Arial"/>
      <charset val="1"/>
    </font>
    <font>
      <i/>
      <sz val="9"/>
      <color rgb="FF595959"/>
      <name val="Arial"/>
      <charset val="1"/>
    </font>
    <font>
      <b/>
      <sz val="12"/>
      <color rgb="FF1F3864"/>
      <name val="Arial"/>
      <charset val="1"/>
    </font>
    <font>
      <sz val="10"/>
      <name val="Arial"/>
      <charset val="1"/>
    </font>
    <font>
      <b/>
      <sz val="16"/>
      <color rgb="FF1F3864"/>
      <name val="Arial"/>
      <charset val="1"/>
    </font>
    <font>
      <b/>
      <sz val="10"/>
      <name val="Arial"/>
      <charset val="1"/>
    </font>
    <font>
      <sz val="10"/>
      <color rgb="FF0000FF"/>
      <name val="Arial"/>
      <charset val="1"/>
    </font>
    <font>
      <b/>
      <sz val="10"/>
      <color rgb="FFFFFFFF"/>
      <name val="Arial"/>
      <charset val="1"/>
    </font>
    <font>
      <b/>
      <sz val="18"/>
      <color rgb="FF1F3864"/>
      <name val="Arial"/>
      <charset val="1"/>
    </font>
    <font>
      <i/>
      <sz val="10"/>
      <color rgb="FF7F7F7F"/>
      <name val="Arial"/>
      <charset val="1"/>
    </font>
    <font>
      <b/>
      <sz val="11"/>
      <color rgb="FF000000"/>
      <name val="Arial"/>
      <charset val="1"/>
    </font>
    <font>
      <b/>
      <sz val="11"/>
      <color rgb="FFFFFFFF"/>
      <name val="Arial"/>
      <charset val="1"/>
    </font>
    <font>
      <b/>
      <sz val="10"/>
      <color rgb="FF000000"/>
      <name val="Arial"/>
      <charset val="1"/>
    </font>
  </fonts>
  <fills count="10">
    <fill>
      <patternFill patternType="none"/>
    </fill>
    <fill>
      <patternFill patternType="gray125"/>
    </fill>
    <fill>
      <patternFill patternType="solid">
        <fgColor rgb="FFD9E2F3"/>
        <bgColor rgb="FFD9D9D9"/>
      </patternFill>
    </fill>
    <fill>
      <patternFill patternType="solid">
        <fgColor rgb="FFFFF2CC"/>
        <bgColor rgb="FFF2F2F2"/>
      </patternFill>
    </fill>
    <fill>
      <patternFill patternType="solid">
        <fgColor rgb="FF1F3864"/>
        <bgColor rgb="FF333333"/>
      </patternFill>
    </fill>
    <fill>
      <patternFill patternType="solid">
        <fgColor rgb="FFFFD966"/>
        <bgColor rgb="FFFFE699"/>
      </patternFill>
    </fill>
    <fill>
      <patternFill patternType="solid">
        <fgColor rgb="FFF4B183"/>
        <bgColor rgb="FFF8CBAD"/>
      </patternFill>
    </fill>
    <fill>
      <patternFill patternType="solid">
        <fgColor rgb="FFC00000"/>
        <bgColor rgb="FF800000"/>
      </patternFill>
    </fill>
    <fill>
      <patternFill patternType="solid">
        <fgColor rgb="FFA9D08E"/>
        <bgColor rgb="FFC6E0B4"/>
      </patternFill>
    </fill>
    <fill>
      <patternFill patternType="solid">
        <fgColor rgb="FFF2F2F2"/>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5">
    <xf numFmtId="0" fontId="0" fillId="0" borderId="0" xfId="0"/>
    <xf numFmtId="1" fontId="9"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0" borderId="0" xfId="0" applyFont="1" applyAlignment="1">
      <alignment vertical="top" wrapText="1"/>
    </xf>
    <xf numFmtId="0" fontId="1" fillId="0" borderId="0" xfId="0" applyFont="1"/>
    <xf numFmtId="0" fontId="2" fillId="0" borderId="0" xfId="0" applyFont="1"/>
    <xf numFmtId="0" fontId="3" fillId="0" borderId="0" xfId="0" applyFont="1" applyAlignment="1">
      <alignment vertical="center"/>
    </xf>
    <xf numFmtId="0" fontId="5" fillId="0" borderId="0" xfId="0" applyFont="1"/>
    <xf numFmtId="0" fontId="6" fillId="2" borderId="1" xfId="0" applyFont="1" applyFill="1" applyBorder="1" applyAlignment="1">
      <alignment vertical="top" wrapText="1"/>
    </xf>
    <xf numFmtId="0" fontId="7" fillId="3" borderId="1" xfId="0" applyFont="1" applyFill="1" applyBorder="1" applyAlignment="1">
      <alignment vertical="top" wrapText="1"/>
    </xf>
    <xf numFmtId="0" fontId="8" fillId="4" borderId="1" xfId="0" applyFont="1" applyFill="1" applyBorder="1" applyAlignment="1">
      <alignment horizontal="center" vertical="center" wrapText="1"/>
    </xf>
    <xf numFmtId="0" fontId="4" fillId="0" borderId="1" xfId="0" applyFont="1" applyBorder="1" applyAlignment="1">
      <alignment vertical="top" wrapText="1"/>
    </xf>
    <xf numFmtId="0" fontId="7" fillId="3" borderId="1" xfId="0" applyFont="1" applyFill="1" applyBorder="1" applyAlignment="1">
      <alignment horizontal="center" vertical="center" wrapText="1"/>
    </xf>
    <xf numFmtId="164" fontId="7" fillId="3" borderId="1" xfId="0" applyNumberFormat="1" applyFont="1" applyFill="1" applyBorder="1" applyAlignment="1">
      <alignment vertical="top" wrapText="1"/>
    </xf>
    <xf numFmtId="0" fontId="2" fillId="0" borderId="0" xfId="0" applyFont="1" applyAlignment="1">
      <alignment vertical="top" wrapText="1"/>
    </xf>
    <xf numFmtId="165" fontId="4" fillId="3" borderId="1" xfId="0" applyNumberFormat="1" applyFont="1" applyFill="1" applyBorder="1" applyAlignment="1">
      <alignment vertical="top" wrapText="1"/>
    </xf>
    <xf numFmtId="0" fontId="6" fillId="0" borderId="1" xfId="0" applyFont="1" applyBorder="1" applyAlignment="1">
      <alignment vertical="top" wrapText="1"/>
    </xf>
    <xf numFmtId="0" fontId="2" fillId="0" borderId="1" xfId="0" applyFont="1" applyBorder="1" applyAlignment="1">
      <alignment vertical="top" wrapText="1"/>
    </xf>
    <xf numFmtId="2" fontId="9"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0" fontId="10" fillId="0" borderId="1" xfId="0" applyFont="1" applyBorder="1" applyAlignment="1">
      <alignment vertical="top"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8" fillId="7" borderId="1" xfId="0" applyFont="1" applyFill="1" applyBorder="1" applyAlignment="1">
      <alignment vertical="top" wrapText="1"/>
    </xf>
    <xf numFmtId="0" fontId="13" fillId="6" borderId="1" xfId="0" applyFont="1" applyFill="1" applyBorder="1" applyAlignment="1">
      <alignment vertical="top" wrapText="1"/>
    </xf>
    <xf numFmtId="0" fontId="13" fillId="5" borderId="1" xfId="0" applyFont="1" applyFill="1" applyBorder="1" applyAlignment="1">
      <alignment vertical="top" wrapText="1"/>
    </xf>
    <xf numFmtId="0" fontId="13" fillId="8" borderId="1" xfId="0" applyFont="1" applyFill="1" applyBorder="1" applyAlignment="1">
      <alignment vertical="top" wrapText="1"/>
    </xf>
    <xf numFmtId="165" fontId="4" fillId="0" borderId="1" xfId="0" applyNumberFormat="1" applyFont="1" applyBorder="1" applyAlignment="1">
      <alignment horizontal="center" vertical="center" wrapText="1"/>
    </xf>
    <xf numFmtId="0" fontId="13" fillId="0" borderId="1" xfId="0" applyFont="1" applyBorder="1" applyAlignment="1">
      <alignment vertical="top" wrapText="1"/>
    </xf>
    <xf numFmtId="1" fontId="4"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2" fontId="7" fillId="3" borderId="1" xfId="0" applyNumberFormat="1" applyFont="1" applyFill="1" applyBorder="1" applyAlignment="1">
      <alignment horizontal="center" vertical="center" wrapText="1"/>
    </xf>
    <xf numFmtId="0" fontId="6" fillId="9" borderId="1" xfId="0" applyFont="1" applyFill="1" applyBorder="1" applyAlignment="1">
      <alignment vertical="top" wrapText="1"/>
    </xf>
    <xf numFmtId="0" fontId="4" fillId="9" borderId="1" xfId="0" applyFont="1" applyFill="1" applyBorder="1" applyAlignment="1">
      <alignment vertical="top" wrapText="1"/>
    </xf>
    <xf numFmtId="0" fontId="4" fillId="9"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166" fontId="10" fillId="0" borderId="1" xfId="0" applyNumberFormat="1" applyFont="1" applyBorder="1" applyAlignment="1">
      <alignment horizontal="center" vertical="center" wrapText="1"/>
    </xf>
    <xf numFmtId="164" fontId="7" fillId="3" borderId="1" xfId="0" applyNumberFormat="1" applyFont="1" applyFill="1" applyBorder="1" applyAlignment="1">
      <alignment horizontal="center" vertical="center" wrapText="1"/>
    </xf>
    <xf numFmtId="164" fontId="10" fillId="0" borderId="1" xfId="0" applyNumberFormat="1" applyFont="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165" fontId="10" fillId="0" borderId="1" xfId="0" applyNumberFormat="1" applyFont="1" applyBorder="1" applyAlignment="1">
      <alignment horizontal="center" vertical="center" wrapText="1"/>
    </xf>
    <xf numFmtId="165" fontId="4" fillId="3" borderId="1" xfId="0" applyNumberFormat="1" applyFont="1" applyFill="1" applyBorder="1" applyAlignment="1">
      <alignment horizontal="center" vertical="center" wrapText="1"/>
    </xf>
    <xf numFmtId="9" fontId="10" fillId="0" borderId="1" xfId="0" applyNumberFormat="1" applyFont="1" applyBorder="1" applyAlignment="1">
      <alignment vertical="top" wrapText="1"/>
    </xf>
    <xf numFmtId="9" fontId="7" fillId="3" borderId="1" xfId="0" applyNumberFormat="1" applyFont="1" applyFill="1" applyBorder="1" applyAlignment="1">
      <alignment vertical="top" wrapText="1"/>
    </xf>
    <xf numFmtId="0" fontId="6" fillId="2" borderId="1" xfId="0" applyFont="1" applyFill="1" applyBorder="1" applyAlignment="1">
      <alignment horizontal="center" vertical="center" wrapText="1"/>
    </xf>
    <xf numFmtId="9" fontId="6" fillId="2"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vertical="top"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6" fillId="8"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9" fontId="7" fillId="0" borderId="1" xfId="0" applyNumberFormat="1" applyFont="1" applyBorder="1" applyAlignment="1">
      <alignment horizontal="center" vertical="center" wrapText="1"/>
    </xf>
    <xf numFmtId="9" fontId="6" fillId="0" borderId="1" xfId="0" applyNumberFormat="1" applyFont="1" applyBorder="1" applyAlignment="1">
      <alignment horizontal="center" vertical="center" wrapText="1"/>
    </xf>
  </cellXfs>
  <cellStyles count="1">
    <cellStyle name="Normal" xfId="0" builtinId="0"/>
  </cellStyles>
  <dxfs count="51">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ill>
        <patternFill>
          <bgColor rgb="FFFFE699"/>
        </patternFill>
      </fill>
    </dxf>
    <dxf>
      <fill>
        <patternFill>
          <bgColor rgb="FFC6E0B4"/>
        </patternFill>
      </fill>
    </dxf>
    <dxf>
      <fill>
        <patternFill>
          <bgColor rgb="FFF8CBAD"/>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ill>
        <patternFill>
          <bgColor rgb="FFF8CBAD"/>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ill>
        <patternFill>
          <bgColor rgb="FFF8CBAD"/>
        </patternFill>
      </fill>
    </dxf>
    <dxf>
      <fill>
        <patternFill>
          <bgColor rgb="FFC6E0B4"/>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
      <fill>
        <patternFill>
          <bgColor rgb="FFD9D9D9"/>
        </patternFill>
      </fill>
    </dxf>
    <dxf>
      <fill>
        <patternFill>
          <bgColor rgb="FFC6E0B4"/>
        </patternFill>
      </fill>
    </dxf>
    <dxf>
      <fill>
        <patternFill>
          <bgColor rgb="FFF8CBAD"/>
        </patternFill>
      </fill>
    </dxf>
    <dxf>
      <fill>
        <patternFill>
          <bgColor rgb="FFFFE699"/>
        </patternFill>
      </fill>
    </dxf>
    <dxf>
      <fill>
        <patternFill>
          <bgColor rgb="FFC6E0B4"/>
        </patternFill>
      </fill>
    </dxf>
    <dxf>
      <fill>
        <patternFill>
          <bgColor rgb="FFF8CBAD"/>
        </patternFill>
      </fill>
    </dxf>
    <dxf>
      <fill>
        <patternFill>
          <bgColor rgb="FFFFE699"/>
        </patternFill>
      </fill>
    </dxf>
    <dxf>
      <fill>
        <patternFill>
          <bgColor rgb="FFC6E0B4"/>
        </patternFill>
      </fill>
    </dxf>
    <dxf>
      <fill>
        <patternFill>
          <bgColor rgb="FFF8CBAD"/>
        </patternFill>
      </fill>
    </dxf>
    <dxf>
      <font>
        <b/>
        <sz val="10"/>
        <color rgb="FFFFFFFF"/>
        <name val="Arial"/>
        <charset val="1"/>
      </font>
      <fill>
        <patternFill>
          <bgColor rgb="FFC00000"/>
        </patternFill>
      </fill>
    </dxf>
    <dxf>
      <font>
        <b/>
        <sz val="10"/>
        <color rgb="FF000000"/>
        <name val="Arial"/>
        <charset val="1"/>
      </font>
      <fill>
        <patternFill>
          <bgColor rgb="FFF4B183"/>
        </patternFill>
      </fill>
    </dxf>
    <dxf>
      <font>
        <b/>
        <sz val="10"/>
        <color rgb="FF000000"/>
        <name val="Arial"/>
        <charset val="1"/>
      </font>
      <fill>
        <patternFill>
          <bgColor rgb="FFFFD966"/>
        </patternFill>
      </fill>
    </dxf>
    <dxf>
      <font>
        <b/>
        <sz val="10"/>
        <color rgb="FF000000"/>
        <name val="Arial"/>
        <charset val="1"/>
      </font>
      <fill>
        <patternFill>
          <bgColor rgb="FFA9D08E"/>
        </patternFill>
      </fill>
    </dxf>
  </dxfs>
  <tableStyles count="0" defaultTableStyle="TableStyleMedium2" defaultPivotStyle="PivotStyleLight16"/>
  <colors>
    <indexedColors>
      <rgbColor rgb="FF000000"/>
      <rgbColor rgb="FFFFFFFF"/>
      <rgbColor rgb="FFC00000"/>
      <rgbColor rgb="FF00FF00"/>
      <rgbColor rgb="FF0000FF"/>
      <rgbColor rgb="FFFFD966"/>
      <rgbColor rgb="FFFF00FF"/>
      <rgbColor rgb="FF00FFFF"/>
      <rgbColor rgb="FF800000"/>
      <rgbColor rgb="FF008000"/>
      <rgbColor rgb="FF000080"/>
      <rgbColor rgb="FF808000"/>
      <rgbColor rgb="FF800080"/>
      <rgbColor rgb="FF008080"/>
      <rgbColor rgb="FFBFBFBF"/>
      <rgbColor rgb="FF7F7F7F"/>
      <rgbColor rgb="FF9999FF"/>
      <rgbColor rgb="FFBE4B48"/>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0B4"/>
      <rgbColor rgb="FFFFE699"/>
      <rgbColor rgb="FFA9D08E"/>
      <rgbColor rgb="FFF4B183"/>
      <rgbColor rgb="FFF9F9F9"/>
      <rgbColor rgb="FFF8CBAD"/>
      <rgbColor rgb="FF4F81BD"/>
      <rgbColor rgb="FF33CCCC"/>
      <rgbColor rgb="FF99CC00"/>
      <rgbColor rgb="FFFFC000"/>
      <rgbColor rgb="FFFF9900"/>
      <rgbColor rgb="FFFF6600"/>
      <rgbColor rgb="FF595959"/>
      <rgbColor rgb="FF878787"/>
      <rgbColor rgb="FF1F3864"/>
      <rgbColor rgb="FF339966"/>
      <rgbColor rgb="FF0033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Maturity vs target by family</a:t>
            </a:r>
          </a:p>
        </c:rich>
      </c:tx>
      <c:overlay val="0"/>
      <c:spPr>
        <a:noFill/>
        <a:ln w="0">
          <a:noFill/>
        </a:ln>
      </c:spPr>
    </c:title>
    <c:autoTitleDeleted val="0"/>
    <c:plotArea>
      <c:layout/>
      <c:barChart>
        <c:barDir val="col"/>
        <c:grouping val="clustered"/>
        <c:varyColors val="0"/>
        <c:ser>
          <c:idx val="0"/>
          <c:order val="0"/>
          <c:tx>
            <c:strRef>
              <c:f>Dashboard!$F$29</c:f>
              <c:strCache>
                <c:ptCount val="1"/>
                <c:pt idx="0">
                  <c:v>Avg maturity</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Dashboard!$B$30:$B$42</c:f>
              <c:strCache>
                <c:ptCount val="13"/>
                <c:pt idx="0">
                  <c:v>Physical and Environmental Security</c:v>
                </c:pt>
                <c:pt idx="1">
                  <c:v>Secure Configuration and Change</c:v>
                </c:pt>
                <c:pt idx="2">
                  <c:v>Patch and Lifecycle Management</c:v>
                </c:pt>
                <c:pt idx="3">
                  <c:v>Logging and Time Synchronization</c:v>
                </c:pt>
                <c:pt idx="4">
                  <c:v>Host Protection</c:v>
                </c:pt>
                <c:pt idx="5">
                  <c:v>Vulnerability Assessment</c:v>
                </c:pt>
                <c:pt idx="6">
                  <c:v>Network Placement and Exposure</c:v>
                </c:pt>
                <c:pt idx="7">
                  <c:v>Authentication and Access Control</c:v>
                </c:pt>
                <c:pt idx="8">
                  <c:v>Secure Administration</c:v>
                </c:pt>
                <c:pt idx="9">
                  <c:v>Backup, Restore and Recovery</c:v>
                </c:pt>
                <c:pt idx="10">
                  <c:v>Data Protection</c:v>
                </c:pt>
                <c:pt idx="11">
                  <c:v>Governance, Ownership and Risk</c:v>
                </c:pt>
                <c:pt idx="12">
                  <c:v>Virtualization Platforms</c:v>
                </c:pt>
              </c:strCache>
            </c:strRef>
          </c:cat>
          <c:val>
            <c:numRef>
              <c:f>Dashboard!$F$30:$F$42</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A5CF-4AD6-AB2F-7D52CD3187FE}"/>
            </c:ext>
          </c:extLst>
        </c:ser>
        <c:ser>
          <c:idx val="1"/>
          <c:order val="1"/>
          <c:tx>
            <c:strRef>
              <c:f>Dashboard!$G$29</c:f>
              <c:strCache>
                <c:ptCount val="1"/>
                <c:pt idx="0">
                  <c:v>Avg target</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Dashboard!$B$30:$B$42</c:f>
              <c:strCache>
                <c:ptCount val="13"/>
                <c:pt idx="0">
                  <c:v>Physical and Environmental Security</c:v>
                </c:pt>
                <c:pt idx="1">
                  <c:v>Secure Configuration and Change</c:v>
                </c:pt>
                <c:pt idx="2">
                  <c:v>Patch and Lifecycle Management</c:v>
                </c:pt>
                <c:pt idx="3">
                  <c:v>Logging and Time Synchronization</c:v>
                </c:pt>
                <c:pt idx="4">
                  <c:v>Host Protection</c:v>
                </c:pt>
                <c:pt idx="5">
                  <c:v>Vulnerability Assessment</c:v>
                </c:pt>
                <c:pt idx="6">
                  <c:v>Network Placement and Exposure</c:v>
                </c:pt>
                <c:pt idx="7">
                  <c:v>Authentication and Access Control</c:v>
                </c:pt>
                <c:pt idx="8">
                  <c:v>Secure Administration</c:v>
                </c:pt>
                <c:pt idx="9">
                  <c:v>Backup, Restore and Recovery</c:v>
                </c:pt>
                <c:pt idx="10">
                  <c:v>Data Protection</c:v>
                </c:pt>
                <c:pt idx="11">
                  <c:v>Governance, Ownership and Risk</c:v>
                </c:pt>
                <c:pt idx="12">
                  <c:v>Virtualization Platforms</c:v>
                </c:pt>
              </c:strCache>
            </c:strRef>
          </c:cat>
          <c:val>
            <c:numRef>
              <c:f>Dashboard!$G$30:$G$42</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A5CF-4AD6-AB2F-7D52CD3187FE}"/>
            </c:ext>
          </c:extLst>
        </c:ser>
        <c:dLbls>
          <c:showLegendKey val="0"/>
          <c:showVal val="0"/>
          <c:showCatName val="0"/>
          <c:showSerName val="0"/>
          <c:showPercent val="0"/>
          <c:showBubbleSize val="0"/>
        </c:dLbls>
        <c:gapWidth val="150"/>
        <c:axId val="67748314"/>
        <c:axId val="238131"/>
      </c:barChart>
      <c:catAx>
        <c:axId val="677483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8131"/>
        <c:crosses val="autoZero"/>
        <c:auto val="1"/>
        <c:lblAlgn val="ctr"/>
        <c:lblOffset val="100"/>
        <c:noMultiLvlLbl val="0"/>
      </c:catAx>
      <c:valAx>
        <c:axId val="238131"/>
        <c:scaling>
          <c:orientation val="minMax"/>
          <c:max val="5"/>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Maturity (0-5)</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74831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Maturity distribution (controls)</a:t>
            </a:r>
          </a:p>
        </c:rich>
      </c:tx>
      <c:overlay val="0"/>
      <c:spPr>
        <a:noFill/>
        <a:ln w="0">
          <a:noFill/>
        </a:ln>
      </c:spPr>
    </c:title>
    <c:autoTitleDeleted val="0"/>
    <c:plotArea>
      <c:layout/>
      <c:barChart>
        <c:barDir val="col"/>
        <c:grouping val="clustered"/>
        <c:varyColors val="0"/>
        <c:ser>
          <c:idx val="0"/>
          <c:order val="0"/>
          <c:tx>
            <c:strRef>
              <c:f>Dashboard!$C$45</c:f>
              <c:strCache>
                <c:ptCount val="1"/>
                <c:pt idx="0">
                  <c:v>Controls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Dashboard!$B$46:$B$51</c:f>
              <c:strCache>
                <c:ptCount val="6"/>
                <c:pt idx="0">
                  <c:v>0 - Non-Existent</c:v>
                </c:pt>
                <c:pt idx="1">
                  <c:v>1 - Initial</c:v>
                </c:pt>
                <c:pt idx="2">
                  <c:v>2 - Repeatable</c:v>
                </c:pt>
                <c:pt idx="3">
                  <c:v>3 - Defined</c:v>
                </c:pt>
                <c:pt idx="4">
                  <c:v>4 - Managed</c:v>
                </c:pt>
                <c:pt idx="5">
                  <c:v>5 - Optimized</c:v>
                </c:pt>
              </c:strCache>
            </c:strRef>
          </c:cat>
          <c:val>
            <c:numRef>
              <c:f>Dashboard!$C$46:$C$51</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DCC-4E7A-9B49-9076921B414A}"/>
            </c:ext>
          </c:extLst>
        </c:ser>
        <c:dLbls>
          <c:showLegendKey val="0"/>
          <c:showVal val="0"/>
          <c:showCatName val="0"/>
          <c:showSerName val="0"/>
          <c:showPercent val="0"/>
          <c:showBubbleSize val="0"/>
        </c:dLbls>
        <c:gapWidth val="150"/>
        <c:axId val="59312316"/>
        <c:axId val="19997044"/>
      </c:barChart>
      <c:catAx>
        <c:axId val="5931231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997044"/>
        <c:crosses val="autoZero"/>
        <c:auto val="1"/>
        <c:lblAlgn val="ctr"/>
        <c:lblOffset val="100"/>
        <c:noMultiLvlLbl val="0"/>
      </c:catAx>
      <c:valAx>
        <c:axId val="1999704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31231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Overall maturity trend</a:t>
            </a:r>
          </a:p>
        </c:rich>
      </c:tx>
      <c:overlay val="0"/>
      <c:spPr>
        <a:noFill/>
        <a:ln w="0">
          <a:noFill/>
        </a:ln>
      </c:spPr>
    </c:title>
    <c:autoTitleDeleted val="0"/>
    <c:plotArea>
      <c:layout/>
      <c:lineChart>
        <c:grouping val="standard"/>
        <c:varyColors val="0"/>
        <c:ser>
          <c:idx val="0"/>
          <c:order val="0"/>
          <c:tx>
            <c:strRef>
              <c:f>Dashboard!$C$102</c:f>
              <c:strCache>
                <c:ptCount val="1"/>
                <c:pt idx="0">
                  <c:v>Overall maturity</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Dashboard!$B$103:$B$109</c:f>
              <c:strCache>
                <c:ptCount val="1"/>
                <c:pt idx="0">
                  <c:v>Current (live)</c:v>
                </c:pt>
              </c:strCache>
            </c:strRef>
          </c:cat>
          <c:val>
            <c:numRef>
              <c:f>Dashboard!$C$103:$C$109</c:f>
              <c:numCache>
                <c:formatCode>0.00</c:formatCode>
                <c:ptCount val="7"/>
                <c:pt idx="0">
                  <c:v>0</c:v>
                </c:pt>
              </c:numCache>
            </c:numRef>
          </c:val>
          <c:smooth val="1"/>
          <c:extLst>
            <c:ext xmlns:c16="http://schemas.microsoft.com/office/drawing/2014/chart" uri="{C3380CC4-5D6E-409C-BE32-E72D297353CC}">
              <c16:uniqueId val="{00000000-4BBA-4CF7-8DA6-1C51AF88701B}"/>
            </c:ext>
          </c:extLst>
        </c:ser>
        <c:dLbls>
          <c:showLegendKey val="0"/>
          <c:showVal val="0"/>
          <c:showCatName val="0"/>
          <c:showSerName val="0"/>
          <c:showPercent val="0"/>
          <c:showBubbleSize val="0"/>
        </c:dLbls>
        <c:hiLowLines>
          <c:spPr>
            <a:ln w="0">
              <a:noFill/>
            </a:ln>
          </c:spPr>
        </c:hiLowLines>
        <c:smooth val="0"/>
        <c:axId val="32105075"/>
        <c:axId val="41511390"/>
      </c:lineChart>
      <c:catAx>
        <c:axId val="321050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511390"/>
        <c:crosses val="autoZero"/>
        <c:auto val="1"/>
        <c:lblAlgn val="ctr"/>
        <c:lblOffset val="100"/>
        <c:noMultiLvlLbl val="0"/>
      </c:catAx>
      <c:valAx>
        <c:axId val="41511390"/>
        <c:scaling>
          <c:orientation val="minMax"/>
          <c:max val="5"/>
          <c:min val="0"/>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1050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26</xdr:row>
      <xdr:rowOff>131040</xdr:rowOff>
    </xdr:from>
    <xdr:to>
      <xdr:col>18</xdr:col>
      <xdr:colOff>55800</xdr:colOff>
      <xdr:row>42</xdr:row>
      <xdr:rowOff>132120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42</xdr:row>
      <xdr:rowOff>131040</xdr:rowOff>
    </xdr:from>
    <xdr:to>
      <xdr:col>15</xdr:col>
      <xdr:colOff>105480</xdr:colOff>
      <xdr:row>56</xdr:row>
      <xdr:rowOff>77760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99</xdr:row>
      <xdr:rowOff>130680</xdr:rowOff>
    </xdr:from>
    <xdr:to>
      <xdr:col>11</xdr:col>
      <xdr:colOff>105840</xdr:colOff>
      <xdr:row>111</xdr:row>
      <xdr:rowOff>127800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1:C34"/>
  <sheetViews>
    <sheetView showGridLines="0" topLeftCell="A27" zoomScaleNormal="100" workbookViewId="0">
      <selection activeCell="B38" sqref="B38"/>
    </sheetView>
  </sheetViews>
  <sheetFormatPr defaultColWidth="8.6328125" defaultRowHeight="14.5" x14ac:dyDescent="0.35"/>
  <cols>
    <col min="1" max="1" width="3" customWidth="1"/>
    <col min="2" max="2" width="26" customWidth="1"/>
    <col min="3" max="3" width="100" customWidth="1"/>
  </cols>
  <sheetData>
    <row r="1" spans="2:3" ht="25" x14ac:dyDescent="0.5">
      <c r="B1" s="5" t="s">
        <v>0</v>
      </c>
    </row>
    <row r="2" spans="2:3" x14ac:dyDescent="0.35">
      <c r="B2" s="6" t="s">
        <v>2350</v>
      </c>
    </row>
    <row r="4" spans="2:3" ht="15.5" x14ac:dyDescent="0.35">
      <c r="B4" s="7" t="s">
        <v>1</v>
      </c>
    </row>
    <row r="5" spans="2:3" ht="30" customHeight="1" x14ac:dyDescent="0.35">
      <c r="B5" s="4" t="s">
        <v>2</v>
      </c>
      <c r="C5" s="4"/>
    </row>
    <row r="6" spans="2:3" ht="30" customHeight="1" x14ac:dyDescent="0.35">
      <c r="B6" s="4" t="s">
        <v>3</v>
      </c>
      <c r="C6" s="4"/>
    </row>
    <row r="8" spans="2:3" ht="15.5" x14ac:dyDescent="0.35">
      <c r="B8" s="7" t="s">
        <v>4</v>
      </c>
    </row>
    <row r="9" spans="2:3" ht="30" customHeight="1" x14ac:dyDescent="0.35">
      <c r="B9" s="4" t="s">
        <v>5</v>
      </c>
      <c r="C9" s="4"/>
    </row>
    <row r="10" spans="2:3" ht="30" customHeight="1" x14ac:dyDescent="0.35">
      <c r="B10" s="4" t="s">
        <v>6</v>
      </c>
      <c r="C10" s="4"/>
    </row>
    <row r="11" spans="2:3" ht="30" customHeight="1" x14ac:dyDescent="0.35">
      <c r="B11" s="4" t="s">
        <v>7</v>
      </c>
      <c r="C11" s="4"/>
    </row>
    <row r="12" spans="2:3" ht="30" customHeight="1" x14ac:dyDescent="0.35">
      <c r="B12" s="4" t="s">
        <v>8</v>
      </c>
      <c r="C12" s="4"/>
    </row>
    <row r="13" spans="2:3" ht="30" customHeight="1" x14ac:dyDescent="0.35">
      <c r="B13" s="4" t="s">
        <v>9</v>
      </c>
      <c r="C13" s="4"/>
    </row>
    <row r="14" spans="2:3" ht="15" customHeight="1" x14ac:dyDescent="0.35">
      <c r="B14" s="4" t="s">
        <v>10</v>
      </c>
      <c r="C14" s="4"/>
    </row>
    <row r="16" spans="2:3" ht="15.5" x14ac:dyDescent="0.35">
      <c r="B16" s="7" t="s">
        <v>11</v>
      </c>
    </row>
    <row r="17" spans="2:3" ht="30" customHeight="1" x14ac:dyDescent="0.35">
      <c r="B17" s="4" t="s">
        <v>12</v>
      </c>
      <c r="C17" s="4"/>
    </row>
    <row r="19" spans="2:3" ht="15.5" x14ac:dyDescent="0.35">
      <c r="B19" s="7" t="s">
        <v>13</v>
      </c>
    </row>
    <row r="20" spans="2:3" ht="30" customHeight="1" x14ac:dyDescent="0.35">
      <c r="B20" s="4" t="s">
        <v>14</v>
      </c>
      <c r="C20" s="4"/>
    </row>
    <row r="21" spans="2:3" ht="30" customHeight="1" x14ac:dyDescent="0.35">
      <c r="B21" s="4" t="s">
        <v>15</v>
      </c>
      <c r="C21" s="4"/>
    </row>
    <row r="23" spans="2:3" ht="15.5" x14ac:dyDescent="0.35">
      <c r="B23" s="7" t="s">
        <v>16</v>
      </c>
    </row>
    <row r="24" spans="2:3" ht="30" customHeight="1" x14ac:dyDescent="0.35">
      <c r="B24" s="4" t="s">
        <v>17</v>
      </c>
      <c r="C24" s="4"/>
    </row>
    <row r="25" spans="2:3" ht="30" customHeight="1" x14ac:dyDescent="0.35">
      <c r="B25" s="4" t="s">
        <v>18</v>
      </c>
      <c r="C25" s="4"/>
    </row>
    <row r="27" spans="2:3" ht="15.5" x14ac:dyDescent="0.35">
      <c r="B27" s="7" t="s">
        <v>19</v>
      </c>
    </row>
    <row r="28" spans="2:3" ht="30" customHeight="1" x14ac:dyDescent="0.35">
      <c r="B28" s="4" t="s">
        <v>20</v>
      </c>
      <c r="C28" s="4"/>
    </row>
    <row r="29" spans="2:3" ht="30" customHeight="1" x14ac:dyDescent="0.35">
      <c r="B29" s="4" t="s">
        <v>21</v>
      </c>
      <c r="C29" s="4"/>
    </row>
    <row r="31" spans="2:3" ht="15.5" x14ac:dyDescent="0.35">
      <c r="B31" s="7" t="s">
        <v>22</v>
      </c>
    </row>
    <row r="32" spans="2:3" ht="45" customHeight="1" x14ac:dyDescent="0.35">
      <c r="B32" s="4" t="s">
        <v>23</v>
      </c>
      <c r="C32" s="4"/>
    </row>
    <row r="33" spans="2:3" ht="30" customHeight="1" x14ac:dyDescent="0.35">
      <c r="B33" s="4" t="s">
        <v>24</v>
      </c>
      <c r="C33" s="4"/>
    </row>
    <row r="34" spans="2:3" ht="30" customHeight="1" x14ac:dyDescent="0.35">
      <c r="B34" s="4" t="s">
        <v>25</v>
      </c>
      <c r="C34" s="4"/>
    </row>
  </sheetData>
  <mergeCells count="18">
    <mergeCell ref="B32:C32"/>
    <mergeCell ref="B33:C33"/>
    <mergeCell ref="B34:C34"/>
    <mergeCell ref="B21:C21"/>
    <mergeCell ref="B24:C24"/>
    <mergeCell ref="B25:C25"/>
    <mergeCell ref="B28:C28"/>
    <mergeCell ref="B29:C29"/>
    <mergeCell ref="B12:C12"/>
    <mergeCell ref="B13:C13"/>
    <mergeCell ref="B14:C14"/>
    <mergeCell ref="B17:C17"/>
    <mergeCell ref="B20:C20"/>
    <mergeCell ref="B5:C5"/>
    <mergeCell ref="B6:C6"/>
    <mergeCell ref="B9:C9"/>
    <mergeCell ref="B10:C10"/>
    <mergeCell ref="B11:C11"/>
  </mergeCells>
  <pageMargins left="0.75" right="0.75" top="1" bottom="1" header="0.511811023622047" footer="0.511811023622047"/>
  <pageSetup fitToHeight="0" orientation="landscape" horizontalDpi="300" verticalDpi="300"/>
  <headerFooter>
    <oddHeader>&amp;C&amp;"Aptos"&amp;10&amp;K000000 Confidential&amp;1#_x000D_</oddHeader>
    <oddFooter>&amp;C_x000D_&amp;1#&amp;"Aptos"&amp;10&amp;K000000 This is a confidential document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G41"/>
  <sheetViews>
    <sheetView showGridLines="0" topLeftCell="A15" zoomScaleNormal="100" workbookViewId="0">
      <selection activeCell="B13" sqref="B13"/>
    </sheetView>
  </sheetViews>
  <sheetFormatPr defaultColWidth="8.6328125" defaultRowHeight="14.5" x14ac:dyDescent="0.35"/>
  <cols>
    <col min="1" max="1" width="3" customWidth="1"/>
    <col min="2" max="3" width="34" customWidth="1"/>
    <col min="4" max="4" width="3" customWidth="1"/>
    <col min="5" max="6" width="18" customWidth="1"/>
    <col min="7" max="7" width="40" customWidth="1"/>
  </cols>
  <sheetData>
    <row r="1" spans="1:6" ht="20" x14ac:dyDescent="0.4">
      <c r="A1" s="8" t="s">
        <v>26</v>
      </c>
    </row>
    <row r="2" spans="1:6" x14ac:dyDescent="0.35">
      <c r="A2" s="6" t="s">
        <v>27</v>
      </c>
    </row>
    <row r="3" spans="1:6" ht="15.5" x14ac:dyDescent="0.35">
      <c r="B3" s="7" t="s">
        <v>28</v>
      </c>
      <c r="E3" s="7" t="s">
        <v>29</v>
      </c>
    </row>
    <row r="4" spans="1:6" ht="19.5" customHeight="1" x14ac:dyDescent="0.35">
      <c r="B4" s="9" t="s">
        <v>30</v>
      </c>
      <c r="C4" s="10"/>
      <c r="E4" s="11" t="s">
        <v>31</v>
      </c>
      <c r="F4" s="11" t="s">
        <v>32</v>
      </c>
    </row>
    <row r="5" spans="1:6" x14ac:dyDescent="0.35">
      <c r="B5" s="9" t="s">
        <v>33</v>
      </c>
      <c r="C5" s="10"/>
      <c r="E5" s="12" t="s">
        <v>34</v>
      </c>
      <c r="F5" s="13">
        <v>2</v>
      </c>
    </row>
    <row r="6" spans="1:6" x14ac:dyDescent="0.35">
      <c r="B6" s="9" t="s">
        <v>35</v>
      </c>
      <c r="C6" s="14"/>
      <c r="E6" s="12" t="s">
        <v>36</v>
      </c>
      <c r="F6" s="13">
        <v>3</v>
      </c>
    </row>
    <row r="7" spans="1:6" x14ac:dyDescent="0.35">
      <c r="B7" s="9" t="s">
        <v>37</v>
      </c>
      <c r="C7" s="14"/>
      <c r="E7" s="12" t="s">
        <v>38</v>
      </c>
      <c r="F7" s="13">
        <v>3</v>
      </c>
    </row>
    <row r="8" spans="1:6" x14ac:dyDescent="0.35">
      <c r="B8" s="9" t="s">
        <v>39</v>
      </c>
      <c r="C8" s="10"/>
      <c r="E8" s="12" t="s">
        <v>40</v>
      </c>
      <c r="F8" s="13">
        <v>4</v>
      </c>
    </row>
    <row r="9" spans="1:6" x14ac:dyDescent="0.35">
      <c r="B9" s="9" t="s">
        <v>41</v>
      </c>
      <c r="C9" s="10"/>
      <c r="E9" s="12" t="s">
        <v>42</v>
      </c>
      <c r="F9" s="13">
        <v>4</v>
      </c>
    </row>
    <row r="10" spans="1:6" ht="24" x14ac:dyDescent="0.35">
      <c r="B10" s="9" t="s">
        <v>43</v>
      </c>
      <c r="C10" s="10"/>
      <c r="E10" s="15" t="s">
        <v>44</v>
      </c>
    </row>
    <row r="11" spans="1:6" x14ac:dyDescent="0.35">
      <c r="B11" s="9" t="s">
        <v>45</v>
      </c>
      <c r="C11" s="10"/>
    </row>
    <row r="12" spans="1:6" x14ac:dyDescent="0.35">
      <c r="B12" s="9" t="s">
        <v>46</v>
      </c>
      <c r="C12" s="10"/>
    </row>
    <row r="13" spans="1:6" x14ac:dyDescent="0.35">
      <c r="B13" s="9" t="s">
        <v>47</v>
      </c>
      <c r="C13" s="16">
        <f>IFERROR(INDEX($F$5:$F$9,MATCH(C10,$E$5:$E$9,0)),3)</f>
        <v>3</v>
      </c>
    </row>
    <row r="14" spans="1:6" ht="48" x14ac:dyDescent="0.35">
      <c r="B14" s="15" t="s">
        <v>48</v>
      </c>
    </row>
    <row r="16" spans="1:6" ht="15.5" x14ac:dyDescent="0.35">
      <c r="B16" s="7" t="s">
        <v>49</v>
      </c>
    </row>
    <row r="17" spans="2:7" ht="19.5" customHeight="1" x14ac:dyDescent="0.35">
      <c r="B17" s="11" t="s">
        <v>50</v>
      </c>
      <c r="C17" s="11" t="s">
        <v>51</v>
      </c>
      <c r="G17" s="11" t="s">
        <v>52</v>
      </c>
    </row>
    <row r="18" spans="2:7" x14ac:dyDescent="0.35">
      <c r="B18" s="17" t="s">
        <v>53</v>
      </c>
      <c r="C18" s="13" t="s">
        <v>54</v>
      </c>
      <c r="G18" s="18" t="s">
        <v>55</v>
      </c>
    </row>
    <row r="19" spans="2:7" x14ac:dyDescent="0.35">
      <c r="B19" s="17" t="s">
        <v>56</v>
      </c>
      <c r="C19" s="13" t="s">
        <v>54</v>
      </c>
      <c r="G19" s="18" t="s">
        <v>57</v>
      </c>
    </row>
    <row r="20" spans="2:7" x14ac:dyDescent="0.35">
      <c r="B20" s="17" t="s">
        <v>58</v>
      </c>
      <c r="C20" s="13" t="s">
        <v>54</v>
      </c>
      <c r="G20" s="18" t="s">
        <v>59</v>
      </c>
    </row>
    <row r="22" spans="2:7" ht="15.5" x14ac:dyDescent="0.35">
      <c r="B22" s="7" t="s">
        <v>60</v>
      </c>
    </row>
    <row r="23" spans="2:7" ht="19.5" customHeight="1" x14ac:dyDescent="0.35">
      <c r="B23" s="11" t="s">
        <v>61</v>
      </c>
      <c r="C23" s="11" t="s">
        <v>51</v>
      </c>
      <c r="G23" s="11" t="s">
        <v>52</v>
      </c>
    </row>
    <row r="24" spans="2:7" x14ac:dyDescent="0.35">
      <c r="B24" s="17" t="s">
        <v>62</v>
      </c>
      <c r="C24" s="13" t="s">
        <v>54</v>
      </c>
    </row>
    <row r="25" spans="2:7" x14ac:dyDescent="0.35">
      <c r="B25" s="17" t="s">
        <v>63</v>
      </c>
      <c r="C25" s="13" t="s">
        <v>54</v>
      </c>
    </row>
    <row r="26" spans="2:7" x14ac:dyDescent="0.35">
      <c r="B26" s="17" t="s">
        <v>64</v>
      </c>
      <c r="C26" s="13" t="s">
        <v>54</v>
      </c>
    </row>
    <row r="27" spans="2:7" x14ac:dyDescent="0.35">
      <c r="B27" s="17" t="s">
        <v>65</v>
      </c>
      <c r="C27" s="13" t="s">
        <v>54</v>
      </c>
    </row>
    <row r="28" spans="2:7" x14ac:dyDescent="0.35">
      <c r="B28" s="17" t="s">
        <v>66</v>
      </c>
      <c r="C28" s="13" t="s">
        <v>54</v>
      </c>
    </row>
    <row r="29" spans="2:7" x14ac:dyDescent="0.35">
      <c r="B29" s="17" t="s">
        <v>67</v>
      </c>
      <c r="C29" s="13" t="s">
        <v>54</v>
      </c>
    </row>
    <row r="30" spans="2:7" x14ac:dyDescent="0.35">
      <c r="B30" s="17" t="s">
        <v>68</v>
      </c>
      <c r="C30" s="13" t="s">
        <v>54</v>
      </c>
    </row>
    <row r="31" spans="2:7" x14ac:dyDescent="0.35">
      <c r="B31" s="17" t="s">
        <v>69</v>
      </c>
      <c r="C31" s="13" t="s">
        <v>54</v>
      </c>
    </row>
    <row r="32" spans="2:7" x14ac:dyDescent="0.35">
      <c r="B32" s="17" t="s">
        <v>70</v>
      </c>
      <c r="C32" s="13" t="s">
        <v>54</v>
      </c>
    </row>
    <row r="33" spans="2:3" x14ac:dyDescent="0.35">
      <c r="B33" s="17" t="s">
        <v>71</v>
      </c>
      <c r="C33" s="13" t="s">
        <v>54</v>
      </c>
    </row>
    <row r="34" spans="2:3" x14ac:dyDescent="0.35">
      <c r="B34" s="17" t="s">
        <v>72</v>
      </c>
      <c r="C34" s="13" t="s">
        <v>54</v>
      </c>
    </row>
    <row r="35" spans="2:3" x14ac:dyDescent="0.35">
      <c r="B35" s="17" t="s">
        <v>73</v>
      </c>
      <c r="C35" s="13" t="s">
        <v>54</v>
      </c>
    </row>
    <row r="36" spans="2:3" x14ac:dyDescent="0.35">
      <c r="B36" s="17" t="s">
        <v>74</v>
      </c>
      <c r="C36" s="13" t="s">
        <v>54</v>
      </c>
    </row>
    <row r="37" spans="2:3" x14ac:dyDescent="0.35">
      <c r="B37" s="17" t="s">
        <v>75</v>
      </c>
      <c r="C37" s="13" t="s">
        <v>54</v>
      </c>
    </row>
    <row r="38" spans="2:3" x14ac:dyDescent="0.35">
      <c r="B38" s="17" t="s">
        <v>76</v>
      </c>
      <c r="C38" s="13" t="s">
        <v>54</v>
      </c>
    </row>
    <row r="39" spans="2:3" x14ac:dyDescent="0.35">
      <c r="B39" s="17" t="s">
        <v>77</v>
      </c>
      <c r="C39" s="13" t="s">
        <v>54</v>
      </c>
    </row>
    <row r="40" spans="2:3" x14ac:dyDescent="0.35">
      <c r="B40" s="17" t="s">
        <v>78</v>
      </c>
      <c r="C40" s="13" t="s">
        <v>54</v>
      </c>
    </row>
    <row r="41" spans="2:3" x14ac:dyDescent="0.35">
      <c r="B41" s="17" t="s">
        <v>79</v>
      </c>
      <c r="C41" s="13" t="s">
        <v>54</v>
      </c>
    </row>
  </sheetData>
  <pageMargins left="0.75" right="0.75" top="1" bottom="1" header="0.511811023622047" footer="0.511811023622047"/>
  <pageSetup fitToHeight="0" orientation="landscape"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2">
        <x14:dataValidation type="list" allowBlank="1" showErrorMessage="1" error="Choose a value from the list" xr:uid="{00000000-0002-0000-0100-000000000000}">
          <x14:formula1>
            <xm:f>Lists!$J$4:$J$8</xm:f>
          </x14:formula1>
          <x14:formula2>
            <xm:f>0</xm:f>
          </x14:formula2>
          <xm:sqref>C10</xm:sqref>
        </x14:dataValidation>
        <x14:dataValidation type="list" allowBlank="1" showErrorMessage="1" error="Choose a value from the list" xr:uid="{00000000-0002-0000-0100-000001000000}">
          <x14:formula1>
            <xm:f>Lists!$I$4:$I$5</xm:f>
          </x14:formula1>
          <x14:formula2>
            <xm:f>0</xm:f>
          </x14:formula2>
          <xm:sqref>C18:C20 C24:C41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B1:L109"/>
  <sheetViews>
    <sheetView showGridLines="0" zoomScaleNormal="100" workbookViewId="0">
      <pane ySplit="3" topLeftCell="A4" activePane="bottomLeft" state="frozen"/>
      <selection pane="bottomLeft"/>
    </sheetView>
  </sheetViews>
  <sheetFormatPr defaultColWidth="8.6328125" defaultRowHeight="14.5" x14ac:dyDescent="0.35"/>
  <cols>
    <col min="1" max="1" width="2" customWidth="1"/>
    <col min="2" max="2" width="40" customWidth="1"/>
    <col min="3" max="3" width="26" customWidth="1"/>
    <col min="4" max="5" width="12" customWidth="1"/>
    <col min="6" max="7" width="14" customWidth="1"/>
    <col min="8" max="8" width="12" customWidth="1"/>
    <col min="9" max="9" width="16" customWidth="1"/>
    <col min="10" max="16" width="14" customWidth="1"/>
  </cols>
  <sheetData>
    <row r="1" spans="2:12" ht="20" x14ac:dyDescent="0.4">
      <c r="B1" s="8" t="s">
        <v>80</v>
      </c>
    </row>
    <row r="2" spans="2:12" x14ac:dyDescent="0.35">
      <c r="B2" s="6" t="str">
        <f>"Client: "&amp;IF(Scope!C4="","(not set)",Scope!C4)&amp;"   |   Assessment period: "&amp;IF(Scope!C6="","(not set)",TEXT(Scope!C6,"yyyy-mm-dd"))&amp;" to "&amp;IF(Scope!C7="","(not set)",TEXT(Scope!C7,"yyyy-mm-dd"))</f>
        <v>Client: (not set)   |   Assessment period: (not set) to (not set)</v>
      </c>
    </row>
    <row r="4" spans="2:12" ht="30" customHeight="1" x14ac:dyDescent="0.35">
      <c r="B4" s="11" t="s">
        <v>81</v>
      </c>
      <c r="C4" s="3" t="s">
        <v>82</v>
      </c>
      <c r="D4" s="3"/>
      <c r="E4" s="3" t="s">
        <v>83</v>
      </c>
      <c r="F4" s="3"/>
      <c r="G4" s="3" t="s">
        <v>84</v>
      </c>
      <c r="H4" s="3"/>
      <c r="I4" s="3" t="s">
        <v>85</v>
      </c>
      <c r="J4" s="3"/>
      <c r="K4" s="3" t="s">
        <v>86</v>
      </c>
      <c r="L4" s="3"/>
    </row>
    <row r="5" spans="2:12" ht="36" customHeight="1" x14ac:dyDescent="0.35">
      <c r="B5" s="19" t="str">
        <f>IFERROR(SUMPRODUCT((Assessment!$J$5:$J$2000="Yes")*ISNUMBER(Assessment!$K$5:$K$2000)*Assessment!$G$5:$G$2000*Assessment!$K$5:$K$2000)/SUMPRODUCT((Assessment!$J$5:$J$2000="Yes")*ISNUMBER(Assessment!$K$5:$K$2000)*Assessment!$G$5:$G$2000),"n/a")</f>
        <v>n/a</v>
      </c>
      <c r="C5" s="2" t="str">
        <f>IFERROR(SUMPRODUCT((Assessment!$J$5:$J$2000="Yes")*ISNUMBER(Assessment!$K$5:$K$2000)*Assessment!$G$5:$G$2000*Assessment!$K$5:$K$2000)/SUMPRODUCT((Assessment!$J$5:$J$2000="Yes")*ISNUMBER(Assessment!$K$5:$K$2000)*Assessment!$G$5:$G$2000)/5,"n/a")</f>
        <v>n/a</v>
      </c>
      <c r="D5" s="2"/>
      <c r="E5" s="2">
        <f>IFERROR(COUNTIFS(Assessment!$J$5:$J$2000,"Yes",Assessment!$K$5:$K$2000,"&gt;=0")/COUNTIF(Assessment!$J$5:$J$2000,"Yes"),0)</f>
        <v>0</v>
      </c>
      <c r="F5" s="2"/>
      <c r="G5" s="1">
        <f>COUNTIF(Assessment!$N$5:$N$2000,"Gap")</f>
        <v>0</v>
      </c>
      <c r="H5" s="1"/>
      <c r="I5" s="1">
        <f>COUNTIF(Assessment!$Z$5:$Z$2000,"Critical")+COUNTIF(Assessment!$Z$5:$Z$2000,"High")</f>
        <v>0</v>
      </c>
      <c r="J5" s="1"/>
      <c r="K5" s="1">
        <f>COUNTIFS(Findings_Register!$F$6:$F$205,"Critical",Findings_Register!$K$6:$K$205,"Open")+COUNTIFS(Findings_Register!$F$6:$F$205,"Critical",Findings_Register!$K$6:$K$205,"In Progress")+COUNTIFS(Findings_Register!$F$6:$F$205,"High",Findings_Register!$K$6:$K$205,"Open")+COUNTIFS(Findings_Register!$F$6:$F$205,"High",Findings_Register!$K$6:$K$205,"In Progress")</f>
        <v>0</v>
      </c>
      <c r="L5" s="1"/>
    </row>
    <row r="7" spans="2:12" ht="15.5" x14ac:dyDescent="0.35">
      <c r="B7" s="7" t="s">
        <v>87</v>
      </c>
    </row>
    <row r="8" spans="2:12" ht="30" customHeight="1" x14ac:dyDescent="0.35">
      <c r="B8" s="11" t="s">
        <v>61</v>
      </c>
      <c r="C8" s="11" t="s">
        <v>88</v>
      </c>
      <c r="D8" s="11" t="s">
        <v>89</v>
      </c>
      <c r="E8" s="11" t="s">
        <v>90</v>
      </c>
      <c r="F8" s="11" t="s">
        <v>91</v>
      </c>
      <c r="G8" s="11" t="s">
        <v>92</v>
      </c>
      <c r="H8" s="11" t="s">
        <v>93</v>
      </c>
      <c r="I8" s="11" t="s">
        <v>94</v>
      </c>
    </row>
    <row r="9" spans="2:12" x14ac:dyDescent="0.35">
      <c r="B9" s="17" t="s">
        <v>62</v>
      </c>
      <c r="C9" s="20">
        <f>COUNTIF(Control_Library!$B$5:$B$3000,B9)</f>
        <v>0</v>
      </c>
      <c r="D9" s="20">
        <f>COUNTIFS(Assessment!$B$5:$B$2000,B9,Assessment!$J$5:$J$2000,"Yes")</f>
        <v>0</v>
      </c>
      <c r="E9" s="20">
        <f>COUNTIFS(Assessment!$B$5:$B$2000,$B9,Assessment!$J$5:$J$2000,"Yes",Assessment!$K$5:$K$2000,"&gt;=0")</f>
        <v>0</v>
      </c>
      <c r="F9" s="21" t="str">
        <f>IF(E9=0,"-",SUMPRODUCT((Assessment!$B$5:$B$2000=$B9)*(Assessment!$J$5:$J$2000="Yes")*ISNUMBER(Assessment!$K$5:$K$2000)*Assessment!$G$5:$G$2000*Assessment!$K$5:$K$2000)/SUMPRODUCT((Assessment!$B$5:$B$2000=$B9)*(Assessment!$J$5:$J$2000="Yes")*ISNUMBER(Assessment!$K$5:$K$2000)*Assessment!$G$5:$G$2000))</f>
        <v>-</v>
      </c>
      <c r="G9" s="21" t="str">
        <f>IF(E9=0,"-",SUMPRODUCT((Assessment!$B$5:$B$2000=$B9)*(Assessment!$J$5:$J$2000="Yes")*ISNUMBER(Assessment!$K$5:$K$2000)*Assessment!$G$5:$G$2000*Assessment!$L$5:$L$2000)/SUMPRODUCT((Assessment!$B$5:$B$2000=$B9)*(Assessment!$J$5:$J$2000="Yes")*ISNUMBER(Assessment!$K$5:$K$2000)*Assessment!$G$5:$G$2000))</f>
        <v>-</v>
      </c>
      <c r="H9" s="21" t="str">
        <f t="shared" ref="H9:H26" si="0">IF(E9=0,"-",MAX(0,G9-F9))</f>
        <v>-</v>
      </c>
      <c r="I9" s="20" t="str">
        <f t="shared" ref="I9:I26" si="1">IF(E9=0,"Not assessed",IF(H9&lt;=0,"On target",IF(H9&lt;=1,"Minor gap","Significant gap")))</f>
        <v>Not assessed</v>
      </c>
    </row>
    <row r="10" spans="2:12" x14ac:dyDescent="0.35">
      <c r="B10" s="17" t="s">
        <v>63</v>
      </c>
      <c r="C10" s="20">
        <f>COUNTIF(Control_Library!$B$5:$B$3000,B10)</f>
        <v>0</v>
      </c>
      <c r="D10" s="20">
        <f>COUNTIFS(Assessment!$B$5:$B$2000,B10,Assessment!$J$5:$J$2000,"Yes")</f>
        <v>0</v>
      </c>
      <c r="E10" s="20">
        <f>COUNTIFS(Assessment!$B$5:$B$2000,$B10,Assessment!$J$5:$J$2000,"Yes",Assessment!$K$5:$K$2000,"&gt;=0")</f>
        <v>0</v>
      </c>
      <c r="F10" s="21" t="str">
        <f>IF(E10=0,"-",SUMPRODUCT((Assessment!$B$5:$B$2000=$B10)*(Assessment!$J$5:$J$2000="Yes")*ISNUMBER(Assessment!$K$5:$K$2000)*Assessment!$G$5:$G$2000*Assessment!$K$5:$K$2000)/SUMPRODUCT((Assessment!$B$5:$B$2000=$B10)*(Assessment!$J$5:$J$2000="Yes")*ISNUMBER(Assessment!$K$5:$K$2000)*Assessment!$G$5:$G$2000))</f>
        <v>-</v>
      </c>
      <c r="G10" s="21" t="str">
        <f>IF(E10=0,"-",SUMPRODUCT((Assessment!$B$5:$B$2000=$B10)*(Assessment!$J$5:$J$2000="Yes")*ISNUMBER(Assessment!$K$5:$K$2000)*Assessment!$G$5:$G$2000*Assessment!$L$5:$L$2000)/SUMPRODUCT((Assessment!$B$5:$B$2000=$B10)*(Assessment!$J$5:$J$2000="Yes")*ISNUMBER(Assessment!$K$5:$K$2000)*Assessment!$G$5:$G$2000))</f>
        <v>-</v>
      </c>
      <c r="H10" s="21" t="str">
        <f t="shared" si="0"/>
        <v>-</v>
      </c>
      <c r="I10" s="20" t="str">
        <f t="shared" si="1"/>
        <v>Not assessed</v>
      </c>
    </row>
    <row r="11" spans="2:12" x14ac:dyDescent="0.35">
      <c r="B11" s="17" t="s">
        <v>64</v>
      </c>
      <c r="C11" s="20">
        <f>COUNTIF(Control_Library!$B$5:$B$3000,B11)</f>
        <v>0</v>
      </c>
      <c r="D11" s="20">
        <f>COUNTIFS(Assessment!$B$5:$B$2000,B11,Assessment!$J$5:$J$2000,"Yes")</f>
        <v>0</v>
      </c>
      <c r="E11" s="20">
        <f>COUNTIFS(Assessment!$B$5:$B$2000,$B11,Assessment!$J$5:$J$2000,"Yes",Assessment!$K$5:$K$2000,"&gt;=0")</f>
        <v>0</v>
      </c>
      <c r="F11" s="21" t="str">
        <f>IF(E11=0,"-",SUMPRODUCT((Assessment!$B$5:$B$2000=$B11)*(Assessment!$J$5:$J$2000="Yes")*ISNUMBER(Assessment!$K$5:$K$2000)*Assessment!$G$5:$G$2000*Assessment!$K$5:$K$2000)/SUMPRODUCT((Assessment!$B$5:$B$2000=$B11)*(Assessment!$J$5:$J$2000="Yes")*ISNUMBER(Assessment!$K$5:$K$2000)*Assessment!$G$5:$G$2000))</f>
        <v>-</v>
      </c>
      <c r="G11" s="21" t="str">
        <f>IF(E11=0,"-",SUMPRODUCT((Assessment!$B$5:$B$2000=$B11)*(Assessment!$J$5:$J$2000="Yes")*ISNUMBER(Assessment!$K$5:$K$2000)*Assessment!$G$5:$G$2000*Assessment!$L$5:$L$2000)/SUMPRODUCT((Assessment!$B$5:$B$2000=$B11)*(Assessment!$J$5:$J$2000="Yes")*ISNUMBER(Assessment!$K$5:$K$2000)*Assessment!$G$5:$G$2000))</f>
        <v>-</v>
      </c>
      <c r="H11" s="21" t="str">
        <f t="shared" si="0"/>
        <v>-</v>
      </c>
      <c r="I11" s="20" t="str">
        <f t="shared" si="1"/>
        <v>Not assessed</v>
      </c>
    </row>
    <row r="12" spans="2:12" x14ac:dyDescent="0.35">
      <c r="B12" s="17" t="s">
        <v>65</v>
      </c>
      <c r="C12" s="20">
        <f>COUNTIF(Control_Library!$B$5:$B$3000,B12)</f>
        <v>0</v>
      </c>
      <c r="D12" s="20">
        <f>COUNTIFS(Assessment!$B$5:$B$2000,B12,Assessment!$J$5:$J$2000,"Yes")</f>
        <v>0</v>
      </c>
      <c r="E12" s="20">
        <f>COUNTIFS(Assessment!$B$5:$B$2000,$B12,Assessment!$J$5:$J$2000,"Yes",Assessment!$K$5:$K$2000,"&gt;=0")</f>
        <v>0</v>
      </c>
      <c r="F12" s="21" t="str">
        <f>IF(E12=0,"-",SUMPRODUCT((Assessment!$B$5:$B$2000=$B12)*(Assessment!$J$5:$J$2000="Yes")*ISNUMBER(Assessment!$K$5:$K$2000)*Assessment!$G$5:$G$2000*Assessment!$K$5:$K$2000)/SUMPRODUCT((Assessment!$B$5:$B$2000=$B12)*(Assessment!$J$5:$J$2000="Yes")*ISNUMBER(Assessment!$K$5:$K$2000)*Assessment!$G$5:$G$2000))</f>
        <v>-</v>
      </c>
      <c r="G12" s="21" t="str">
        <f>IF(E12=0,"-",SUMPRODUCT((Assessment!$B$5:$B$2000=$B12)*(Assessment!$J$5:$J$2000="Yes")*ISNUMBER(Assessment!$K$5:$K$2000)*Assessment!$G$5:$G$2000*Assessment!$L$5:$L$2000)/SUMPRODUCT((Assessment!$B$5:$B$2000=$B12)*(Assessment!$J$5:$J$2000="Yes")*ISNUMBER(Assessment!$K$5:$K$2000)*Assessment!$G$5:$G$2000))</f>
        <v>-</v>
      </c>
      <c r="H12" s="21" t="str">
        <f t="shared" si="0"/>
        <v>-</v>
      </c>
      <c r="I12" s="20" t="str">
        <f t="shared" si="1"/>
        <v>Not assessed</v>
      </c>
    </row>
    <row r="13" spans="2:12" x14ac:dyDescent="0.35">
      <c r="B13" s="17" t="s">
        <v>66</v>
      </c>
      <c r="C13" s="20">
        <f>COUNTIF(Control_Library!$B$5:$B$3000,B13)</f>
        <v>60</v>
      </c>
      <c r="D13" s="20">
        <f>COUNTIFS(Assessment!$B$5:$B$2000,B13,Assessment!$J$5:$J$2000,"Yes")</f>
        <v>60</v>
      </c>
      <c r="E13" s="20">
        <f>COUNTIFS(Assessment!$B$5:$B$2000,$B13,Assessment!$J$5:$J$2000,"Yes",Assessment!$K$5:$K$2000,"&gt;=0")</f>
        <v>0</v>
      </c>
      <c r="F13" s="21" t="str">
        <f>IF(E13=0,"-",SUMPRODUCT((Assessment!$B$5:$B$2000=$B13)*(Assessment!$J$5:$J$2000="Yes")*ISNUMBER(Assessment!$K$5:$K$2000)*Assessment!$G$5:$G$2000*Assessment!$K$5:$K$2000)/SUMPRODUCT((Assessment!$B$5:$B$2000=$B13)*(Assessment!$J$5:$J$2000="Yes")*ISNUMBER(Assessment!$K$5:$K$2000)*Assessment!$G$5:$G$2000))</f>
        <v>-</v>
      </c>
      <c r="G13" s="21" t="str">
        <f>IF(E13=0,"-",SUMPRODUCT((Assessment!$B$5:$B$2000=$B13)*(Assessment!$J$5:$J$2000="Yes")*ISNUMBER(Assessment!$K$5:$K$2000)*Assessment!$G$5:$G$2000*Assessment!$L$5:$L$2000)/SUMPRODUCT((Assessment!$B$5:$B$2000=$B13)*(Assessment!$J$5:$J$2000="Yes")*ISNUMBER(Assessment!$K$5:$K$2000)*Assessment!$G$5:$G$2000))</f>
        <v>-</v>
      </c>
      <c r="H13" s="21" t="str">
        <f t="shared" si="0"/>
        <v>-</v>
      </c>
      <c r="I13" s="20" t="str">
        <f t="shared" si="1"/>
        <v>Not assessed</v>
      </c>
    </row>
    <row r="14" spans="2:12" x14ac:dyDescent="0.35">
      <c r="B14" s="17" t="s">
        <v>67</v>
      </c>
      <c r="C14" s="20">
        <f>COUNTIF(Control_Library!$B$5:$B$3000,B14)</f>
        <v>0</v>
      </c>
      <c r="D14" s="20">
        <f>COUNTIFS(Assessment!$B$5:$B$2000,B14,Assessment!$J$5:$J$2000,"Yes")</f>
        <v>0</v>
      </c>
      <c r="E14" s="20">
        <f>COUNTIFS(Assessment!$B$5:$B$2000,$B14,Assessment!$J$5:$J$2000,"Yes",Assessment!$K$5:$K$2000,"&gt;=0")</f>
        <v>0</v>
      </c>
      <c r="F14" s="21" t="str">
        <f>IF(E14=0,"-",SUMPRODUCT((Assessment!$B$5:$B$2000=$B14)*(Assessment!$J$5:$J$2000="Yes")*ISNUMBER(Assessment!$K$5:$K$2000)*Assessment!$G$5:$G$2000*Assessment!$K$5:$K$2000)/SUMPRODUCT((Assessment!$B$5:$B$2000=$B14)*(Assessment!$J$5:$J$2000="Yes")*ISNUMBER(Assessment!$K$5:$K$2000)*Assessment!$G$5:$G$2000))</f>
        <v>-</v>
      </c>
      <c r="G14" s="21" t="str">
        <f>IF(E14=0,"-",SUMPRODUCT((Assessment!$B$5:$B$2000=$B14)*(Assessment!$J$5:$J$2000="Yes")*ISNUMBER(Assessment!$K$5:$K$2000)*Assessment!$G$5:$G$2000*Assessment!$L$5:$L$2000)/SUMPRODUCT((Assessment!$B$5:$B$2000=$B14)*(Assessment!$J$5:$J$2000="Yes")*ISNUMBER(Assessment!$K$5:$K$2000)*Assessment!$G$5:$G$2000))</f>
        <v>-</v>
      </c>
      <c r="H14" s="21" t="str">
        <f t="shared" si="0"/>
        <v>-</v>
      </c>
      <c r="I14" s="20" t="str">
        <f t="shared" si="1"/>
        <v>Not assessed</v>
      </c>
    </row>
    <row r="15" spans="2:12" x14ac:dyDescent="0.35">
      <c r="B15" s="17" t="s">
        <v>68</v>
      </c>
      <c r="C15" s="20">
        <f>COUNTIF(Control_Library!$B$5:$B$3000,B15)</f>
        <v>0</v>
      </c>
      <c r="D15" s="20">
        <f>COUNTIFS(Assessment!$B$5:$B$2000,B15,Assessment!$J$5:$J$2000,"Yes")</f>
        <v>0</v>
      </c>
      <c r="E15" s="20">
        <f>COUNTIFS(Assessment!$B$5:$B$2000,$B15,Assessment!$J$5:$J$2000,"Yes",Assessment!$K$5:$K$2000,"&gt;=0")</f>
        <v>0</v>
      </c>
      <c r="F15" s="21" t="str">
        <f>IF(E15=0,"-",SUMPRODUCT((Assessment!$B$5:$B$2000=$B15)*(Assessment!$J$5:$J$2000="Yes")*ISNUMBER(Assessment!$K$5:$K$2000)*Assessment!$G$5:$G$2000*Assessment!$K$5:$K$2000)/SUMPRODUCT((Assessment!$B$5:$B$2000=$B15)*(Assessment!$J$5:$J$2000="Yes")*ISNUMBER(Assessment!$K$5:$K$2000)*Assessment!$G$5:$G$2000))</f>
        <v>-</v>
      </c>
      <c r="G15" s="21" t="str">
        <f>IF(E15=0,"-",SUMPRODUCT((Assessment!$B$5:$B$2000=$B15)*(Assessment!$J$5:$J$2000="Yes")*ISNUMBER(Assessment!$K$5:$K$2000)*Assessment!$G$5:$G$2000*Assessment!$L$5:$L$2000)/SUMPRODUCT((Assessment!$B$5:$B$2000=$B15)*(Assessment!$J$5:$J$2000="Yes")*ISNUMBER(Assessment!$K$5:$K$2000)*Assessment!$G$5:$G$2000))</f>
        <v>-</v>
      </c>
      <c r="H15" s="21" t="str">
        <f t="shared" si="0"/>
        <v>-</v>
      </c>
      <c r="I15" s="20" t="str">
        <f t="shared" si="1"/>
        <v>Not assessed</v>
      </c>
    </row>
    <row r="16" spans="2:12" x14ac:dyDescent="0.35">
      <c r="B16" s="17" t="s">
        <v>69</v>
      </c>
      <c r="C16" s="20">
        <f>COUNTIF(Control_Library!$B$5:$B$3000,B16)</f>
        <v>0</v>
      </c>
      <c r="D16" s="20">
        <f>COUNTIFS(Assessment!$B$5:$B$2000,B16,Assessment!$J$5:$J$2000,"Yes")</f>
        <v>0</v>
      </c>
      <c r="E16" s="20">
        <f>COUNTIFS(Assessment!$B$5:$B$2000,$B16,Assessment!$J$5:$J$2000,"Yes",Assessment!$K$5:$K$2000,"&gt;=0")</f>
        <v>0</v>
      </c>
      <c r="F16" s="21" t="str">
        <f>IF(E16=0,"-",SUMPRODUCT((Assessment!$B$5:$B$2000=$B16)*(Assessment!$J$5:$J$2000="Yes")*ISNUMBER(Assessment!$K$5:$K$2000)*Assessment!$G$5:$G$2000*Assessment!$K$5:$K$2000)/SUMPRODUCT((Assessment!$B$5:$B$2000=$B16)*(Assessment!$J$5:$J$2000="Yes")*ISNUMBER(Assessment!$K$5:$K$2000)*Assessment!$G$5:$G$2000))</f>
        <v>-</v>
      </c>
      <c r="G16" s="21" t="str">
        <f>IF(E16=0,"-",SUMPRODUCT((Assessment!$B$5:$B$2000=$B16)*(Assessment!$J$5:$J$2000="Yes")*ISNUMBER(Assessment!$K$5:$K$2000)*Assessment!$G$5:$G$2000*Assessment!$L$5:$L$2000)/SUMPRODUCT((Assessment!$B$5:$B$2000=$B16)*(Assessment!$J$5:$J$2000="Yes")*ISNUMBER(Assessment!$K$5:$K$2000)*Assessment!$G$5:$G$2000))</f>
        <v>-</v>
      </c>
      <c r="H16" s="21" t="str">
        <f t="shared" si="0"/>
        <v>-</v>
      </c>
      <c r="I16" s="20" t="str">
        <f t="shared" si="1"/>
        <v>Not assessed</v>
      </c>
    </row>
    <row r="17" spans="2:9" x14ac:dyDescent="0.35">
      <c r="B17" s="17" t="s">
        <v>70</v>
      </c>
      <c r="C17" s="20">
        <f>COUNTIF(Control_Library!$B$5:$B$3000,B17)</f>
        <v>0</v>
      </c>
      <c r="D17" s="20">
        <f>COUNTIFS(Assessment!$B$5:$B$2000,B17,Assessment!$J$5:$J$2000,"Yes")</f>
        <v>0</v>
      </c>
      <c r="E17" s="20">
        <f>COUNTIFS(Assessment!$B$5:$B$2000,$B17,Assessment!$J$5:$J$2000,"Yes",Assessment!$K$5:$K$2000,"&gt;=0")</f>
        <v>0</v>
      </c>
      <c r="F17" s="21" t="str">
        <f>IF(E17=0,"-",SUMPRODUCT((Assessment!$B$5:$B$2000=$B17)*(Assessment!$J$5:$J$2000="Yes")*ISNUMBER(Assessment!$K$5:$K$2000)*Assessment!$G$5:$G$2000*Assessment!$K$5:$K$2000)/SUMPRODUCT((Assessment!$B$5:$B$2000=$B17)*(Assessment!$J$5:$J$2000="Yes")*ISNUMBER(Assessment!$K$5:$K$2000)*Assessment!$G$5:$G$2000))</f>
        <v>-</v>
      </c>
      <c r="G17" s="21" t="str">
        <f>IF(E17=0,"-",SUMPRODUCT((Assessment!$B$5:$B$2000=$B17)*(Assessment!$J$5:$J$2000="Yes")*ISNUMBER(Assessment!$K$5:$K$2000)*Assessment!$G$5:$G$2000*Assessment!$L$5:$L$2000)/SUMPRODUCT((Assessment!$B$5:$B$2000=$B17)*(Assessment!$J$5:$J$2000="Yes")*ISNUMBER(Assessment!$K$5:$K$2000)*Assessment!$G$5:$G$2000))</f>
        <v>-</v>
      </c>
      <c r="H17" s="21" t="str">
        <f t="shared" si="0"/>
        <v>-</v>
      </c>
      <c r="I17" s="20" t="str">
        <f t="shared" si="1"/>
        <v>Not assessed</v>
      </c>
    </row>
    <row r="18" spans="2:9" x14ac:dyDescent="0.35">
      <c r="B18" s="17" t="s">
        <v>71</v>
      </c>
      <c r="C18" s="20">
        <f>COUNTIF(Control_Library!$B$5:$B$3000,B18)</f>
        <v>0</v>
      </c>
      <c r="D18" s="20">
        <f>COUNTIFS(Assessment!$B$5:$B$2000,B18,Assessment!$J$5:$J$2000,"Yes")</f>
        <v>0</v>
      </c>
      <c r="E18" s="20">
        <f>COUNTIFS(Assessment!$B$5:$B$2000,$B18,Assessment!$J$5:$J$2000,"Yes",Assessment!$K$5:$K$2000,"&gt;=0")</f>
        <v>0</v>
      </c>
      <c r="F18" s="21" t="str">
        <f>IF(E18=0,"-",SUMPRODUCT((Assessment!$B$5:$B$2000=$B18)*(Assessment!$J$5:$J$2000="Yes")*ISNUMBER(Assessment!$K$5:$K$2000)*Assessment!$G$5:$G$2000*Assessment!$K$5:$K$2000)/SUMPRODUCT((Assessment!$B$5:$B$2000=$B18)*(Assessment!$J$5:$J$2000="Yes")*ISNUMBER(Assessment!$K$5:$K$2000)*Assessment!$G$5:$G$2000))</f>
        <v>-</v>
      </c>
      <c r="G18" s="21" t="str">
        <f>IF(E18=0,"-",SUMPRODUCT((Assessment!$B$5:$B$2000=$B18)*(Assessment!$J$5:$J$2000="Yes")*ISNUMBER(Assessment!$K$5:$K$2000)*Assessment!$G$5:$G$2000*Assessment!$L$5:$L$2000)/SUMPRODUCT((Assessment!$B$5:$B$2000=$B18)*(Assessment!$J$5:$J$2000="Yes")*ISNUMBER(Assessment!$K$5:$K$2000)*Assessment!$G$5:$G$2000))</f>
        <v>-</v>
      </c>
      <c r="H18" s="21" t="str">
        <f t="shared" si="0"/>
        <v>-</v>
      </c>
      <c r="I18" s="20" t="str">
        <f t="shared" si="1"/>
        <v>Not assessed</v>
      </c>
    </row>
    <row r="19" spans="2:9" x14ac:dyDescent="0.35">
      <c r="B19" s="17" t="s">
        <v>72</v>
      </c>
      <c r="C19" s="20">
        <f>COUNTIF(Control_Library!$B$5:$B$3000,B19)</f>
        <v>0</v>
      </c>
      <c r="D19" s="20">
        <f>COUNTIFS(Assessment!$B$5:$B$2000,B19,Assessment!$J$5:$J$2000,"Yes")</f>
        <v>0</v>
      </c>
      <c r="E19" s="20">
        <f>COUNTIFS(Assessment!$B$5:$B$2000,$B19,Assessment!$J$5:$J$2000,"Yes",Assessment!$K$5:$K$2000,"&gt;=0")</f>
        <v>0</v>
      </c>
      <c r="F19" s="21" t="str">
        <f>IF(E19=0,"-",SUMPRODUCT((Assessment!$B$5:$B$2000=$B19)*(Assessment!$J$5:$J$2000="Yes")*ISNUMBER(Assessment!$K$5:$K$2000)*Assessment!$G$5:$G$2000*Assessment!$K$5:$K$2000)/SUMPRODUCT((Assessment!$B$5:$B$2000=$B19)*(Assessment!$J$5:$J$2000="Yes")*ISNUMBER(Assessment!$K$5:$K$2000)*Assessment!$G$5:$G$2000))</f>
        <v>-</v>
      </c>
      <c r="G19" s="21" t="str">
        <f>IF(E19=0,"-",SUMPRODUCT((Assessment!$B$5:$B$2000=$B19)*(Assessment!$J$5:$J$2000="Yes")*ISNUMBER(Assessment!$K$5:$K$2000)*Assessment!$G$5:$G$2000*Assessment!$L$5:$L$2000)/SUMPRODUCT((Assessment!$B$5:$B$2000=$B19)*(Assessment!$J$5:$J$2000="Yes")*ISNUMBER(Assessment!$K$5:$K$2000)*Assessment!$G$5:$G$2000))</f>
        <v>-</v>
      </c>
      <c r="H19" s="21" t="str">
        <f t="shared" si="0"/>
        <v>-</v>
      </c>
      <c r="I19" s="20" t="str">
        <f t="shared" si="1"/>
        <v>Not assessed</v>
      </c>
    </row>
    <row r="20" spans="2:9" x14ac:dyDescent="0.35">
      <c r="B20" s="17" t="s">
        <v>73</v>
      </c>
      <c r="C20" s="20">
        <f>COUNTIF(Control_Library!$B$5:$B$3000,B20)</f>
        <v>0</v>
      </c>
      <c r="D20" s="20">
        <f>COUNTIFS(Assessment!$B$5:$B$2000,B20,Assessment!$J$5:$J$2000,"Yes")</f>
        <v>0</v>
      </c>
      <c r="E20" s="20">
        <f>COUNTIFS(Assessment!$B$5:$B$2000,$B20,Assessment!$J$5:$J$2000,"Yes",Assessment!$K$5:$K$2000,"&gt;=0")</f>
        <v>0</v>
      </c>
      <c r="F20" s="21" t="str">
        <f>IF(E20=0,"-",SUMPRODUCT((Assessment!$B$5:$B$2000=$B20)*(Assessment!$J$5:$J$2000="Yes")*ISNUMBER(Assessment!$K$5:$K$2000)*Assessment!$G$5:$G$2000*Assessment!$K$5:$K$2000)/SUMPRODUCT((Assessment!$B$5:$B$2000=$B20)*(Assessment!$J$5:$J$2000="Yes")*ISNUMBER(Assessment!$K$5:$K$2000)*Assessment!$G$5:$G$2000))</f>
        <v>-</v>
      </c>
      <c r="G20" s="21" t="str">
        <f>IF(E20=0,"-",SUMPRODUCT((Assessment!$B$5:$B$2000=$B20)*(Assessment!$J$5:$J$2000="Yes")*ISNUMBER(Assessment!$K$5:$K$2000)*Assessment!$G$5:$G$2000*Assessment!$L$5:$L$2000)/SUMPRODUCT((Assessment!$B$5:$B$2000=$B20)*(Assessment!$J$5:$J$2000="Yes")*ISNUMBER(Assessment!$K$5:$K$2000)*Assessment!$G$5:$G$2000))</f>
        <v>-</v>
      </c>
      <c r="H20" s="21" t="str">
        <f t="shared" si="0"/>
        <v>-</v>
      </c>
      <c r="I20" s="20" t="str">
        <f t="shared" si="1"/>
        <v>Not assessed</v>
      </c>
    </row>
    <row r="21" spans="2:9" x14ac:dyDescent="0.35">
      <c r="B21" s="17" t="s">
        <v>74</v>
      </c>
      <c r="C21" s="20">
        <f>COUNTIF(Control_Library!$B$5:$B$3000,B21)</f>
        <v>0</v>
      </c>
      <c r="D21" s="20">
        <f>COUNTIFS(Assessment!$B$5:$B$2000,B21,Assessment!$J$5:$J$2000,"Yes")</f>
        <v>0</v>
      </c>
      <c r="E21" s="20">
        <f>COUNTIFS(Assessment!$B$5:$B$2000,$B21,Assessment!$J$5:$J$2000,"Yes",Assessment!$K$5:$K$2000,"&gt;=0")</f>
        <v>0</v>
      </c>
      <c r="F21" s="21" t="str">
        <f>IF(E21=0,"-",SUMPRODUCT((Assessment!$B$5:$B$2000=$B21)*(Assessment!$J$5:$J$2000="Yes")*ISNUMBER(Assessment!$K$5:$K$2000)*Assessment!$G$5:$G$2000*Assessment!$K$5:$K$2000)/SUMPRODUCT((Assessment!$B$5:$B$2000=$B21)*(Assessment!$J$5:$J$2000="Yes")*ISNUMBER(Assessment!$K$5:$K$2000)*Assessment!$G$5:$G$2000))</f>
        <v>-</v>
      </c>
      <c r="G21" s="21" t="str">
        <f>IF(E21=0,"-",SUMPRODUCT((Assessment!$B$5:$B$2000=$B21)*(Assessment!$J$5:$J$2000="Yes")*ISNUMBER(Assessment!$K$5:$K$2000)*Assessment!$G$5:$G$2000*Assessment!$L$5:$L$2000)/SUMPRODUCT((Assessment!$B$5:$B$2000=$B21)*(Assessment!$J$5:$J$2000="Yes")*ISNUMBER(Assessment!$K$5:$K$2000)*Assessment!$G$5:$G$2000))</f>
        <v>-</v>
      </c>
      <c r="H21" s="21" t="str">
        <f t="shared" si="0"/>
        <v>-</v>
      </c>
      <c r="I21" s="20" t="str">
        <f t="shared" si="1"/>
        <v>Not assessed</v>
      </c>
    </row>
    <row r="22" spans="2:9" x14ac:dyDescent="0.35">
      <c r="B22" s="17" t="s">
        <v>75</v>
      </c>
      <c r="C22" s="20">
        <f>COUNTIF(Control_Library!$B$5:$B$3000,B22)</f>
        <v>0</v>
      </c>
      <c r="D22" s="20">
        <f>COUNTIFS(Assessment!$B$5:$B$2000,B22,Assessment!$J$5:$J$2000,"Yes")</f>
        <v>0</v>
      </c>
      <c r="E22" s="20">
        <f>COUNTIFS(Assessment!$B$5:$B$2000,$B22,Assessment!$J$5:$J$2000,"Yes",Assessment!$K$5:$K$2000,"&gt;=0")</f>
        <v>0</v>
      </c>
      <c r="F22" s="21" t="str">
        <f>IF(E22=0,"-",SUMPRODUCT((Assessment!$B$5:$B$2000=$B22)*(Assessment!$J$5:$J$2000="Yes")*ISNUMBER(Assessment!$K$5:$K$2000)*Assessment!$G$5:$G$2000*Assessment!$K$5:$K$2000)/SUMPRODUCT((Assessment!$B$5:$B$2000=$B22)*(Assessment!$J$5:$J$2000="Yes")*ISNUMBER(Assessment!$K$5:$K$2000)*Assessment!$G$5:$G$2000))</f>
        <v>-</v>
      </c>
      <c r="G22" s="21" t="str">
        <f>IF(E22=0,"-",SUMPRODUCT((Assessment!$B$5:$B$2000=$B22)*(Assessment!$J$5:$J$2000="Yes")*ISNUMBER(Assessment!$K$5:$K$2000)*Assessment!$G$5:$G$2000*Assessment!$L$5:$L$2000)/SUMPRODUCT((Assessment!$B$5:$B$2000=$B22)*(Assessment!$J$5:$J$2000="Yes")*ISNUMBER(Assessment!$K$5:$K$2000)*Assessment!$G$5:$G$2000))</f>
        <v>-</v>
      </c>
      <c r="H22" s="21" t="str">
        <f t="shared" si="0"/>
        <v>-</v>
      </c>
      <c r="I22" s="20" t="str">
        <f t="shared" si="1"/>
        <v>Not assessed</v>
      </c>
    </row>
    <row r="23" spans="2:9" x14ac:dyDescent="0.35">
      <c r="B23" s="17" t="s">
        <v>76</v>
      </c>
      <c r="C23" s="20">
        <f>COUNTIF(Control_Library!$B$5:$B$3000,B23)</f>
        <v>0</v>
      </c>
      <c r="D23" s="20">
        <f>COUNTIFS(Assessment!$B$5:$B$2000,B23,Assessment!$J$5:$J$2000,"Yes")</f>
        <v>0</v>
      </c>
      <c r="E23" s="20">
        <f>COUNTIFS(Assessment!$B$5:$B$2000,$B23,Assessment!$J$5:$J$2000,"Yes",Assessment!$K$5:$K$2000,"&gt;=0")</f>
        <v>0</v>
      </c>
      <c r="F23" s="21" t="str">
        <f>IF(E23=0,"-",SUMPRODUCT((Assessment!$B$5:$B$2000=$B23)*(Assessment!$J$5:$J$2000="Yes")*ISNUMBER(Assessment!$K$5:$K$2000)*Assessment!$G$5:$G$2000*Assessment!$K$5:$K$2000)/SUMPRODUCT((Assessment!$B$5:$B$2000=$B23)*(Assessment!$J$5:$J$2000="Yes")*ISNUMBER(Assessment!$K$5:$K$2000)*Assessment!$G$5:$G$2000))</f>
        <v>-</v>
      </c>
      <c r="G23" s="21" t="str">
        <f>IF(E23=0,"-",SUMPRODUCT((Assessment!$B$5:$B$2000=$B23)*(Assessment!$J$5:$J$2000="Yes")*ISNUMBER(Assessment!$K$5:$K$2000)*Assessment!$G$5:$G$2000*Assessment!$L$5:$L$2000)/SUMPRODUCT((Assessment!$B$5:$B$2000=$B23)*(Assessment!$J$5:$J$2000="Yes")*ISNUMBER(Assessment!$K$5:$K$2000)*Assessment!$G$5:$G$2000))</f>
        <v>-</v>
      </c>
      <c r="H23" s="21" t="str">
        <f t="shared" si="0"/>
        <v>-</v>
      </c>
      <c r="I23" s="20" t="str">
        <f t="shared" si="1"/>
        <v>Not assessed</v>
      </c>
    </row>
    <row r="24" spans="2:9" x14ac:dyDescent="0.35">
      <c r="B24" s="17" t="s">
        <v>77</v>
      </c>
      <c r="C24" s="20">
        <f>COUNTIF(Control_Library!$B$5:$B$3000,B24)</f>
        <v>0</v>
      </c>
      <c r="D24" s="20">
        <f>COUNTIFS(Assessment!$B$5:$B$2000,B24,Assessment!$J$5:$J$2000,"Yes")</f>
        <v>0</v>
      </c>
      <c r="E24" s="20">
        <f>COUNTIFS(Assessment!$B$5:$B$2000,$B24,Assessment!$J$5:$J$2000,"Yes",Assessment!$K$5:$K$2000,"&gt;=0")</f>
        <v>0</v>
      </c>
      <c r="F24" s="21" t="str">
        <f>IF(E24=0,"-",SUMPRODUCT((Assessment!$B$5:$B$2000=$B24)*(Assessment!$J$5:$J$2000="Yes")*ISNUMBER(Assessment!$K$5:$K$2000)*Assessment!$G$5:$G$2000*Assessment!$K$5:$K$2000)/SUMPRODUCT((Assessment!$B$5:$B$2000=$B24)*(Assessment!$J$5:$J$2000="Yes")*ISNUMBER(Assessment!$K$5:$K$2000)*Assessment!$G$5:$G$2000))</f>
        <v>-</v>
      </c>
      <c r="G24" s="21" t="str">
        <f>IF(E24=0,"-",SUMPRODUCT((Assessment!$B$5:$B$2000=$B24)*(Assessment!$J$5:$J$2000="Yes")*ISNUMBER(Assessment!$K$5:$K$2000)*Assessment!$G$5:$G$2000*Assessment!$L$5:$L$2000)/SUMPRODUCT((Assessment!$B$5:$B$2000=$B24)*(Assessment!$J$5:$J$2000="Yes")*ISNUMBER(Assessment!$K$5:$K$2000)*Assessment!$G$5:$G$2000))</f>
        <v>-</v>
      </c>
      <c r="H24" s="21" t="str">
        <f t="shared" si="0"/>
        <v>-</v>
      </c>
      <c r="I24" s="20" t="str">
        <f t="shared" si="1"/>
        <v>Not assessed</v>
      </c>
    </row>
    <row r="25" spans="2:9" x14ac:dyDescent="0.35">
      <c r="B25" s="17" t="s">
        <v>78</v>
      </c>
      <c r="C25" s="20">
        <f>COUNTIF(Control_Library!$B$5:$B$3000,B25)</f>
        <v>0</v>
      </c>
      <c r="D25" s="20">
        <f>COUNTIFS(Assessment!$B$5:$B$2000,B25,Assessment!$J$5:$J$2000,"Yes")</f>
        <v>0</v>
      </c>
      <c r="E25" s="20">
        <f>COUNTIFS(Assessment!$B$5:$B$2000,$B25,Assessment!$J$5:$J$2000,"Yes",Assessment!$K$5:$K$2000,"&gt;=0")</f>
        <v>0</v>
      </c>
      <c r="F25" s="21" t="str">
        <f>IF(E25=0,"-",SUMPRODUCT((Assessment!$B$5:$B$2000=$B25)*(Assessment!$J$5:$J$2000="Yes")*ISNUMBER(Assessment!$K$5:$K$2000)*Assessment!$G$5:$G$2000*Assessment!$K$5:$K$2000)/SUMPRODUCT((Assessment!$B$5:$B$2000=$B25)*(Assessment!$J$5:$J$2000="Yes")*ISNUMBER(Assessment!$K$5:$K$2000)*Assessment!$G$5:$G$2000))</f>
        <v>-</v>
      </c>
      <c r="G25" s="21" t="str">
        <f>IF(E25=0,"-",SUMPRODUCT((Assessment!$B$5:$B$2000=$B25)*(Assessment!$J$5:$J$2000="Yes")*ISNUMBER(Assessment!$K$5:$K$2000)*Assessment!$G$5:$G$2000*Assessment!$L$5:$L$2000)/SUMPRODUCT((Assessment!$B$5:$B$2000=$B25)*(Assessment!$J$5:$J$2000="Yes")*ISNUMBER(Assessment!$K$5:$K$2000)*Assessment!$G$5:$G$2000))</f>
        <v>-</v>
      </c>
      <c r="H25" s="21" t="str">
        <f t="shared" si="0"/>
        <v>-</v>
      </c>
      <c r="I25" s="20" t="str">
        <f t="shared" si="1"/>
        <v>Not assessed</v>
      </c>
    </row>
    <row r="26" spans="2:9" x14ac:dyDescent="0.35">
      <c r="B26" s="17" t="s">
        <v>79</v>
      </c>
      <c r="C26" s="20">
        <f>COUNTIF(Control_Library!$B$5:$B$3000,B26)</f>
        <v>0</v>
      </c>
      <c r="D26" s="20">
        <f>COUNTIFS(Assessment!$B$5:$B$2000,B26,Assessment!$J$5:$J$2000,"Yes")</f>
        <v>0</v>
      </c>
      <c r="E26" s="20">
        <f>COUNTIFS(Assessment!$B$5:$B$2000,$B26,Assessment!$J$5:$J$2000,"Yes",Assessment!$K$5:$K$2000,"&gt;=0")</f>
        <v>0</v>
      </c>
      <c r="F26" s="21" t="str">
        <f>IF(E26=0,"-",SUMPRODUCT((Assessment!$B$5:$B$2000=$B26)*(Assessment!$J$5:$J$2000="Yes")*ISNUMBER(Assessment!$K$5:$K$2000)*Assessment!$G$5:$G$2000*Assessment!$K$5:$K$2000)/SUMPRODUCT((Assessment!$B$5:$B$2000=$B26)*(Assessment!$J$5:$J$2000="Yes")*ISNUMBER(Assessment!$K$5:$K$2000)*Assessment!$G$5:$G$2000))</f>
        <v>-</v>
      </c>
      <c r="G26" s="21" t="str">
        <f>IF(E26=0,"-",SUMPRODUCT((Assessment!$B$5:$B$2000=$B26)*(Assessment!$J$5:$J$2000="Yes")*ISNUMBER(Assessment!$K$5:$K$2000)*Assessment!$G$5:$G$2000*Assessment!$L$5:$L$2000)/SUMPRODUCT((Assessment!$B$5:$B$2000=$B26)*(Assessment!$J$5:$J$2000="Yes")*ISNUMBER(Assessment!$K$5:$K$2000)*Assessment!$G$5:$G$2000))</f>
        <v>-</v>
      </c>
      <c r="H26" s="21" t="str">
        <f t="shared" si="0"/>
        <v>-</v>
      </c>
      <c r="I26" s="20" t="str">
        <f t="shared" si="1"/>
        <v>Not assessed</v>
      </c>
    </row>
    <row r="28" spans="2:9" ht="15.5" x14ac:dyDescent="0.35">
      <c r="B28" s="7" t="s">
        <v>95</v>
      </c>
    </row>
    <row r="29" spans="2:9" ht="30" customHeight="1" x14ac:dyDescent="0.35">
      <c r="B29" s="11" t="s">
        <v>96</v>
      </c>
      <c r="C29" s="11" t="s">
        <v>61</v>
      </c>
      <c r="D29" s="11" t="s">
        <v>89</v>
      </c>
      <c r="E29" s="11" t="s">
        <v>90</v>
      </c>
      <c r="F29" s="11" t="s">
        <v>91</v>
      </c>
      <c r="G29" s="11" t="s">
        <v>92</v>
      </c>
      <c r="H29" s="11" t="s">
        <v>93</v>
      </c>
      <c r="I29" s="11" t="s">
        <v>94</v>
      </c>
    </row>
    <row r="30" spans="2:9" x14ac:dyDescent="0.35">
      <c r="B30" s="17" t="s">
        <v>97</v>
      </c>
      <c r="C30" s="12" t="s">
        <v>66</v>
      </c>
      <c r="D30" s="20">
        <f>COUNTIFS(Assessment!$B$5:$B$2000,C30,Assessment!$C$5:$C$2000,B30,Assessment!$J$5:$J$2000,"Yes")</f>
        <v>4</v>
      </c>
      <c r="E30" s="20">
        <f>COUNTIFS(Assessment!$B$5:$B$2000,$C30,Assessment!$C$5:$C$2000,$B30,Assessment!$J$5:$J$2000,"Yes",Assessment!$K$5:$K$2000,"&gt;=0")</f>
        <v>0</v>
      </c>
      <c r="F30" s="21" t="str">
        <f>IF(E30=0,"-",SUMPRODUCT((Assessment!$B$5:$B$2000=$C30)*(Assessment!$C$5:$C$2000=$B30)*(Assessment!$J$5:$J$2000="Yes")*ISNUMBER(Assessment!$K$5:$K$2000)*Assessment!$G$5:$G$2000*Assessment!$K$5:$K$2000)/SUMPRODUCT((Assessment!$B$5:$B$2000=$C30)*(Assessment!$C$5:$C$2000=$B30)*(Assessment!$J$5:$J$2000="Yes")*ISNUMBER(Assessment!$K$5:$K$2000)*Assessment!$G$5:$G$2000))</f>
        <v>-</v>
      </c>
      <c r="G30" s="21" t="str">
        <f>IF(E30=0,"-",SUMPRODUCT((Assessment!$B$5:$B$2000=$C30)*(Assessment!$C$5:$C$2000=$B30)*(Assessment!$J$5:$J$2000="Yes")*ISNUMBER(Assessment!$K$5:$K$2000)*Assessment!$G$5:$G$2000*Assessment!$L$5:$L$2000)/SUMPRODUCT((Assessment!$B$5:$B$2000=$C30)*(Assessment!$C$5:$C$2000=$B30)*(Assessment!$J$5:$J$2000="Yes")*ISNUMBER(Assessment!$K$5:$K$2000)*Assessment!$G$5:$G$2000))</f>
        <v>-</v>
      </c>
      <c r="H30" s="21" t="str">
        <f t="shared" ref="H30:H42" si="2">IF(E30=0,"-",MAX(0,G30-F30))</f>
        <v>-</v>
      </c>
      <c r="I30" s="20" t="str">
        <f t="shared" ref="I30:I42" si="3">IF(E30=0,"Not assessed",IF(H30&lt;=0,"On target",IF(H30&lt;=1,"Minor gap","Significant gap")))</f>
        <v>Not assessed</v>
      </c>
    </row>
    <row r="31" spans="2:9" x14ac:dyDescent="0.35">
      <c r="B31" s="17" t="s">
        <v>98</v>
      </c>
      <c r="C31" s="12" t="s">
        <v>66</v>
      </c>
      <c r="D31" s="20">
        <f>COUNTIFS(Assessment!$B$5:$B$2000,C31,Assessment!$C$5:$C$2000,B31,Assessment!$J$5:$J$2000,"Yes")</f>
        <v>7</v>
      </c>
      <c r="E31" s="20">
        <f>COUNTIFS(Assessment!$B$5:$B$2000,$C31,Assessment!$C$5:$C$2000,$B31,Assessment!$J$5:$J$2000,"Yes",Assessment!$K$5:$K$2000,"&gt;=0")</f>
        <v>0</v>
      </c>
      <c r="F31" s="21" t="str">
        <f>IF(E31=0,"-",SUMPRODUCT((Assessment!$B$5:$B$2000=$C31)*(Assessment!$C$5:$C$2000=$B31)*(Assessment!$J$5:$J$2000="Yes")*ISNUMBER(Assessment!$K$5:$K$2000)*Assessment!$G$5:$G$2000*Assessment!$K$5:$K$2000)/SUMPRODUCT((Assessment!$B$5:$B$2000=$C31)*(Assessment!$C$5:$C$2000=$B31)*(Assessment!$J$5:$J$2000="Yes")*ISNUMBER(Assessment!$K$5:$K$2000)*Assessment!$G$5:$G$2000))</f>
        <v>-</v>
      </c>
      <c r="G31" s="21" t="str">
        <f>IF(E31=0,"-",SUMPRODUCT((Assessment!$B$5:$B$2000=$C31)*(Assessment!$C$5:$C$2000=$B31)*(Assessment!$J$5:$J$2000="Yes")*ISNUMBER(Assessment!$K$5:$K$2000)*Assessment!$G$5:$G$2000*Assessment!$L$5:$L$2000)/SUMPRODUCT((Assessment!$B$5:$B$2000=$C31)*(Assessment!$C$5:$C$2000=$B31)*(Assessment!$J$5:$J$2000="Yes")*ISNUMBER(Assessment!$K$5:$K$2000)*Assessment!$G$5:$G$2000))</f>
        <v>-</v>
      </c>
      <c r="H31" s="21" t="str">
        <f t="shared" si="2"/>
        <v>-</v>
      </c>
      <c r="I31" s="20" t="str">
        <f t="shared" si="3"/>
        <v>Not assessed</v>
      </c>
    </row>
    <row r="32" spans="2:9" x14ac:dyDescent="0.35">
      <c r="B32" s="17" t="s">
        <v>99</v>
      </c>
      <c r="C32" s="12" t="s">
        <v>66</v>
      </c>
      <c r="D32" s="20">
        <f>COUNTIFS(Assessment!$B$5:$B$2000,C32,Assessment!$C$5:$C$2000,B32,Assessment!$J$5:$J$2000,"Yes")</f>
        <v>5</v>
      </c>
      <c r="E32" s="20">
        <f>COUNTIFS(Assessment!$B$5:$B$2000,$C32,Assessment!$C$5:$C$2000,$B32,Assessment!$J$5:$J$2000,"Yes",Assessment!$K$5:$K$2000,"&gt;=0")</f>
        <v>0</v>
      </c>
      <c r="F32" s="21" t="str">
        <f>IF(E32=0,"-",SUMPRODUCT((Assessment!$B$5:$B$2000=$C32)*(Assessment!$C$5:$C$2000=$B32)*(Assessment!$J$5:$J$2000="Yes")*ISNUMBER(Assessment!$K$5:$K$2000)*Assessment!$G$5:$G$2000*Assessment!$K$5:$K$2000)/SUMPRODUCT((Assessment!$B$5:$B$2000=$C32)*(Assessment!$C$5:$C$2000=$B32)*(Assessment!$J$5:$J$2000="Yes")*ISNUMBER(Assessment!$K$5:$K$2000)*Assessment!$G$5:$G$2000))</f>
        <v>-</v>
      </c>
      <c r="G32" s="21" t="str">
        <f>IF(E32=0,"-",SUMPRODUCT((Assessment!$B$5:$B$2000=$C32)*(Assessment!$C$5:$C$2000=$B32)*(Assessment!$J$5:$J$2000="Yes")*ISNUMBER(Assessment!$K$5:$K$2000)*Assessment!$G$5:$G$2000*Assessment!$L$5:$L$2000)/SUMPRODUCT((Assessment!$B$5:$B$2000=$C32)*(Assessment!$C$5:$C$2000=$B32)*(Assessment!$J$5:$J$2000="Yes")*ISNUMBER(Assessment!$K$5:$K$2000)*Assessment!$G$5:$G$2000))</f>
        <v>-</v>
      </c>
      <c r="H32" s="21" t="str">
        <f t="shared" si="2"/>
        <v>-</v>
      </c>
      <c r="I32" s="20" t="str">
        <f t="shared" si="3"/>
        <v>Not assessed</v>
      </c>
    </row>
    <row r="33" spans="2:9" x14ac:dyDescent="0.35">
      <c r="B33" s="17" t="s">
        <v>100</v>
      </c>
      <c r="C33" s="12" t="s">
        <v>66</v>
      </c>
      <c r="D33" s="20">
        <f>COUNTIFS(Assessment!$B$5:$B$2000,C33,Assessment!$C$5:$C$2000,B33,Assessment!$J$5:$J$2000,"Yes")</f>
        <v>6</v>
      </c>
      <c r="E33" s="20">
        <f>COUNTIFS(Assessment!$B$5:$B$2000,$C33,Assessment!$C$5:$C$2000,$B33,Assessment!$J$5:$J$2000,"Yes",Assessment!$K$5:$K$2000,"&gt;=0")</f>
        <v>0</v>
      </c>
      <c r="F33" s="21" t="str">
        <f>IF(E33=0,"-",SUMPRODUCT((Assessment!$B$5:$B$2000=$C33)*(Assessment!$C$5:$C$2000=$B33)*(Assessment!$J$5:$J$2000="Yes")*ISNUMBER(Assessment!$K$5:$K$2000)*Assessment!$G$5:$G$2000*Assessment!$K$5:$K$2000)/SUMPRODUCT((Assessment!$B$5:$B$2000=$C33)*(Assessment!$C$5:$C$2000=$B33)*(Assessment!$J$5:$J$2000="Yes")*ISNUMBER(Assessment!$K$5:$K$2000)*Assessment!$G$5:$G$2000))</f>
        <v>-</v>
      </c>
      <c r="G33" s="21" t="str">
        <f>IF(E33=0,"-",SUMPRODUCT((Assessment!$B$5:$B$2000=$C33)*(Assessment!$C$5:$C$2000=$B33)*(Assessment!$J$5:$J$2000="Yes")*ISNUMBER(Assessment!$K$5:$K$2000)*Assessment!$G$5:$G$2000*Assessment!$L$5:$L$2000)/SUMPRODUCT((Assessment!$B$5:$B$2000=$C33)*(Assessment!$C$5:$C$2000=$B33)*(Assessment!$J$5:$J$2000="Yes")*ISNUMBER(Assessment!$K$5:$K$2000)*Assessment!$G$5:$G$2000))</f>
        <v>-</v>
      </c>
      <c r="H33" s="21" t="str">
        <f t="shared" si="2"/>
        <v>-</v>
      </c>
      <c r="I33" s="20" t="str">
        <f t="shared" si="3"/>
        <v>Not assessed</v>
      </c>
    </row>
    <row r="34" spans="2:9" x14ac:dyDescent="0.35">
      <c r="B34" s="17" t="s">
        <v>101</v>
      </c>
      <c r="C34" s="12" t="s">
        <v>66</v>
      </c>
      <c r="D34" s="20">
        <f>COUNTIFS(Assessment!$B$5:$B$2000,C34,Assessment!$C$5:$C$2000,B34,Assessment!$J$5:$J$2000,"Yes")</f>
        <v>4</v>
      </c>
      <c r="E34" s="20">
        <f>COUNTIFS(Assessment!$B$5:$B$2000,$C34,Assessment!$C$5:$C$2000,$B34,Assessment!$J$5:$J$2000,"Yes",Assessment!$K$5:$K$2000,"&gt;=0")</f>
        <v>0</v>
      </c>
      <c r="F34" s="21" t="str">
        <f>IF(E34=0,"-",SUMPRODUCT((Assessment!$B$5:$B$2000=$C34)*(Assessment!$C$5:$C$2000=$B34)*(Assessment!$J$5:$J$2000="Yes")*ISNUMBER(Assessment!$K$5:$K$2000)*Assessment!$G$5:$G$2000*Assessment!$K$5:$K$2000)/SUMPRODUCT((Assessment!$B$5:$B$2000=$C34)*(Assessment!$C$5:$C$2000=$B34)*(Assessment!$J$5:$J$2000="Yes")*ISNUMBER(Assessment!$K$5:$K$2000)*Assessment!$G$5:$G$2000))</f>
        <v>-</v>
      </c>
      <c r="G34" s="21" t="str">
        <f>IF(E34=0,"-",SUMPRODUCT((Assessment!$B$5:$B$2000=$C34)*(Assessment!$C$5:$C$2000=$B34)*(Assessment!$J$5:$J$2000="Yes")*ISNUMBER(Assessment!$K$5:$K$2000)*Assessment!$G$5:$G$2000*Assessment!$L$5:$L$2000)/SUMPRODUCT((Assessment!$B$5:$B$2000=$C34)*(Assessment!$C$5:$C$2000=$B34)*(Assessment!$J$5:$J$2000="Yes")*ISNUMBER(Assessment!$K$5:$K$2000)*Assessment!$G$5:$G$2000))</f>
        <v>-</v>
      </c>
      <c r="H34" s="21" t="str">
        <f t="shared" si="2"/>
        <v>-</v>
      </c>
      <c r="I34" s="20" t="str">
        <f t="shared" si="3"/>
        <v>Not assessed</v>
      </c>
    </row>
    <row r="35" spans="2:9" x14ac:dyDescent="0.35">
      <c r="B35" s="17" t="s">
        <v>102</v>
      </c>
      <c r="C35" s="12" t="s">
        <v>66</v>
      </c>
      <c r="D35" s="20">
        <f>COUNTIFS(Assessment!$B$5:$B$2000,C35,Assessment!$C$5:$C$2000,B35,Assessment!$J$5:$J$2000,"Yes")</f>
        <v>4</v>
      </c>
      <c r="E35" s="20">
        <f>COUNTIFS(Assessment!$B$5:$B$2000,$C35,Assessment!$C$5:$C$2000,$B35,Assessment!$J$5:$J$2000,"Yes",Assessment!$K$5:$K$2000,"&gt;=0")</f>
        <v>0</v>
      </c>
      <c r="F35" s="21" t="str">
        <f>IF(E35=0,"-",SUMPRODUCT((Assessment!$B$5:$B$2000=$C35)*(Assessment!$C$5:$C$2000=$B35)*(Assessment!$J$5:$J$2000="Yes")*ISNUMBER(Assessment!$K$5:$K$2000)*Assessment!$G$5:$G$2000*Assessment!$K$5:$K$2000)/SUMPRODUCT((Assessment!$B$5:$B$2000=$C35)*(Assessment!$C$5:$C$2000=$B35)*(Assessment!$J$5:$J$2000="Yes")*ISNUMBER(Assessment!$K$5:$K$2000)*Assessment!$G$5:$G$2000))</f>
        <v>-</v>
      </c>
      <c r="G35" s="21" t="str">
        <f>IF(E35=0,"-",SUMPRODUCT((Assessment!$B$5:$B$2000=$C35)*(Assessment!$C$5:$C$2000=$B35)*(Assessment!$J$5:$J$2000="Yes")*ISNUMBER(Assessment!$K$5:$K$2000)*Assessment!$G$5:$G$2000*Assessment!$L$5:$L$2000)/SUMPRODUCT((Assessment!$B$5:$B$2000=$C35)*(Assessment!$C$5:$C$2000=$B35)*(Assessment!$J$5:$J$2000="Yes")*ISNUMBER(Assessment!$K$5:$K$2000)*Assessment!$G$5:$G$2000))</f>
        <v>-</v>
      </c>
      <c r="H35" s="21" t="str">
        <f t="shared" si="2"/>
        <v>-</v>
      </c>
      <c r="I35" s="20" t="str">
        <f t="shared" si="3"/>
        <v>Not assessed</v>
      </c>
    </row>
    <row r="36" spans="2:9" x14ac:dyDescent="0.35">
      <c r="B36" s="17" t="s">
        <v>103</v>
      </c>
      <c r="C36" s="12" t="s">
        <v>66</v>
      </c>
      <c r="D36" s="20">
        <f>COUNTIFS(Assessment!$B$5:$B$2000,C36,Assessment!$C$5:$C$2000,B36,Assessment!$J$5:$J$2000,"Yes")</f>
        <v>1</v>
      </c>
      <c r="E36" s="20">
        <f>COUNTIFS(Assessment!$B$5:$B$2000,$C36,Assessment!$C$5:$C$2000,$B36,Assessment!$J$5:$J$2000,"Yes",Assessment!$K$5:$K$2000,"&gt;=0")</f>
        <v>0</v>
      </c>
      <c r="F36" s="21" t="str">
        <f>IF(E36=0,"-",SUMPRODUCT((Assessment!$B$5:$B$2000=$C36)*(Assessment!$C$5:$C$2000=$B36)*(Assessment!$J$5:$J$2000="Yes")*ISNUMBER(Assessment!$K$5:$K$2000)*Assessment!$G$5:$G$2000*Assessment!$K$5:$K$2000)/SUMPRODUCT((Assessment!$B$5:$B$2000=$C36)*(Assessment!$C$5:$C$2000=$B36)*(Assessment!$J$5:$J$2000="Yes")*ISNUMBER(Assessment!$K$5:$K$2000)*Assessment!$G$5:$G$2000))</f>
        <v>-</v>
      </c>
      <c r="G36" s="21" t="str">
        <f>IF(E36=0,"-",SUMPRODUCT((Assessment!$B$5:$B$2000=$C36)*(Assessment!$C$5:$C$2000=$B36)*(Assessment!$J$5:$J$2000="Yes")*ISNUMBER(Assessment!$K$5:$K$2000)*Assessment!$G$5:$G$2000*Assessment!$L$5:$L$2000)/SUMPRODUCT((Assessment!$B$5:$B$2000=$C36)*(Assessment!$C$5:$C$2000=$B36)*(Assessment!$J$5:$J$2000="Yes")*ISNUMBER(Assessment!$K$5:$K$2000)*Assessment!$G$5:$G$2000))</f>
        <v>-</v>
      </c>
      <c r="H36" s="21" t="str">
        <f t="shared" si="2"/>
        <v>-</v>
      </c>
      <c r="I36" s="20" t="str">
        <f t="shared" si="3"/>
        <v>Not assessed</v>
      </c>
    </row>
    <row r="37" spans="2:9" x14ac:dyDescent="0.35">
      <c r="B37" s="17" t="s">
        <v>104</v>
      </c>
      <c r="C37" s="12" t="s">
        <v>66</v>
      </c>
      <c r="D37" s="20">
        <f>COUNTIFS(Assessment!$B$5:$B$2000,C37,Assessment!$C$5:$C$2000,B37,Assessment!$J$5:$J$2000,"Yes")</f>
        <v>9</v>
      </c>
      <c r="E37" s="20">
        <f>COUNTIFS(Assessment!$B$5:$B$2000,$C37,Assessment!$C$5:$C$2000,$B37,Assessment!$J$5:$J$2000,"Yes",Assessment!$K$5:$K$2000,"&gt;=0")</f>
        <v>0</v>
      </c>
      <c r="F37" s="21" t="str">
        <f>IF(E37=0,"-",SUMPRODUCT((Assessment!$B$5:$B$2000=$C37)*(Assessment!$C$5:$C$2000=$B37)*(Assessment!$J$5:$J$2000="Yes")*ISNUMBER(Assessment!$K$5:$K$2000)*Assessment!$G$5:$G$2000*Assessment!$K$5:$K$2000)/SUMPRODUCT((Assessment!$B$5:$B$2000=$C37)*(Assessment!$C$5:$C$2000=$B37)*(Assessment!$J$5:$J$2000="Yes")*ISNUMBER(Assessment!$K$5:$K$2000)*Assessment!$G$5:$G$2000))</f>
        <v>-</v>
      </c>
      <c r="G37" s="21" t="str">
        <f>IF(E37=0,"-",SUMPRODUCT((Assessment!$B$5:$B$2000=$C37)*(Assessment!$C$5:$C$2000=$B37)*(Assessment!$J$5:$J$2000="Yes")*ISNUMBER(Assessment!$K$5:$K$2000)*Assessment!$G$5:$G$2000*Assessment!$L$5:$L$2000)/SUMPRODUCT((Assessment!$B$5:$B$2000=$C37)*(Assessment!$C$5:$C$2000=$B37)*(Assessment!$J$5:$J$2000="Yes")*ISNUMBER(Assessment!$K$5:$K$2000)*Assessment!$G$5:$G$2000))</f>
        <v>-</v>
      </c>
      <c r="H37" s="21" t="str">
        <f t="shared" si="2"/>
        <v>-</v>
      </c>
      <c r="I37" s="20" t="str">
        <f t="shared" si="3"/>
        <v>Not assessed</v>
      </c>
    </row>
    <row r="38" spans="2:9" x14ac:dyDescent="0.35">
      <c r="B38" s="17" t="s">
        <v>105</v>
      </c>
      <c r="C38" s="12" t="s">
        <v>66</v>
      </c>
      <c r="D38" s="20">
        <f>COUNTIFS(Assessment!$B$5:$B$2000,C38,Assessment!$C$5:$C$2000,B38,Assessment!$J$5:$J$2000,"Yes")</f>
        <v>2</v>
      </c>
      <c r="E38" s="20">
        <f>COUNTIFS(Assessment!$B$5:$B$2000,$C38,Assessment!$C$5:$C$2000,$B38,Assessment!$J$5:$J$2000,"Yes",Assessment!$K$5:$K$2000,"&gt;=0")</f>
        <v>0</v>
      </c>
      <c r="F38" s="21" t="str">
        <f>IF(E38=0,"-",SUMPRODUCT((Assessment!$B$5:$B$2000=$C38)*(Assessment!$C$5:$C$2000=$B38)*(Assessment!$J$5:$J$2000="Yes")*ISNUMBER(Assessment!$K$5:$K$2000)*Assessment!$G$5:$G$2000*Assessment!$K$5:$K$2000)/SUMPRODUCT((Assessment!$B$5:$B$2000=$C38)*(Assessment!$C$5:$C$2000=$B38)*(Assessment!$J$5:$J$2000="Yes")*ISNUMBER(Assessment!$K$5:$K$2000)*Assessment!$G$5:$G$2000))</f>
        <v>-</v>
      </c>
      <c r="G38" s="21" t="str">
        <f>IF(E38=0,"-",SUMPRODUCT((Assessment!$B$5:$B$2000=$C38)*(Assessment!$C$5:$C$2000=$B38)*(Assessment!$J$5:$J$2000="Yes")*ISNUMBER(Assessment!$K$5:$K$2000)*Assessment!$G$5:$G$2000*Assessment!$L$5:$L$2000)/SUMPRODUCT((Assessment!$B$5:$B$2000=$C38)*(Assessment!$C$5:$C$2000=$B38)*(Assessment!$J$5:$J$2000="Yes")*ISNUMBER(Assessment!$K$5:$K$2000)*Assessment!$G$5:$G$2000))</f>
        <v>-</v>
      </c>
      <c r="H38" s="21" t="str">
        <f t="shared" si="2"/>
        <v>-</v>
      </c>
      <c r="I38" s="20" t="str">
        <f t="shared" si="3"/>
        <v>Not assessed</v>
      </c>
    </row>
    <row r="39" spans="2:9" x14ac:dyDescent="0.35">
      <c r="B39" s="17" t="s">
        <v>106</v>
      </c>
      <c r="C39" s="12" t="s">
        <v>66</v>
      </c>
      <c r="D39" s="20">
        <f>COUNTIFS(Assessment!$B$5:$B$2000,C39,Assessment!$C$5:$C$2000,B39,Assessment!$J$5:$J$2000,"Yes")</f>
        <v>6</v>
      </c>
      <c r="E39" s="20">
        <f>COUNTIFS(Assessment!$B$5:$B$2000,$C39,Assessment!$C$5:$C$2000,$B39,Assessment!$J$5:$J$2000,"Yes",Assessment!$K$5:$K$2000,"&gt;=0")</f>
        <v>0</v>
      </c>
      <c r="F39" s="21" t="str">
        <f>IF(E39=0,"-",SUMPRODUCT((Assessment!$B$5:$B$2000=$C39)*(Assessment!$C$5:$C$2000=$B39)*(Assessment!$J$5:$J$2000="Yes")*ISNUMBER(Assessment!$K$5:$K$2000)*Assessment!$G$5:$G$2000*Assessment!$K$5:$K$2000)/SUMPRODUCT((Assessment!$B$5:$B$2000=$C39)*(Assessment!$C$5:$C$2000=$B39)*(Assessment!$J$5:$J$2000="Yes")*ISNUMBER(Assessment!$K$5:$K$2000)*Assessment!$G$5:$G$2000))</f>
        <v>-</v>
      </c>
      <c r="G39" s="21" t="str">
        <f>IF(E39=0,"-",SUMPRODUCT((Assessment!$B$5:$B$2000=$C39)*(Assessment!$C$5:$C$2000=$B39)*(Assessment!$J$5:$J$2000="Yes")*ISNUMBER(Assessment!$K$5:$K$2000)*Assessment!$G$5:$G$2000*Assessment!$L$5:$L$2000)/SUMPRODUCT((Assessment!$B$5:$B$2000=$C39)*(Assessment!$C$5:$C$2000=$B39)*(Assessment!$J$5:$J$2000="Yes")*ISNUMBER(Assessment!$K$5:$K$2000)*Assessment!$G$5:$G$2000))</f>
        <v>-</v>
      </c>
      <c r="H39" s="21" t="str">
        <f t="shared" si="2"/>
        <v>-</v>
      </c>
      <c r="I39" s="20" t="str">
        <f t="shared" si="3"/>
        <v>Not assessed</v>
      </c>
    </row>
    <row r="40" spans="2:9" x14ac:dyDescent="0.35">
      <c r="B40" s="17" t="s">
        <v>74</v>
      </c>
      <c r="C40" s="12" t="s">
        <v>66</v>
      </c>
      <c r="D40" s="20">
        <f>COUNTIFS(Assessment!$B$5:$B$2000,C40,Assessment!$C$5:$C$2000,B40,Assessment!$J$5:$J$2000,"Yes")</f>
        <v>3</v>
      </c>
      <c r="E40" s="20">
        <f>COUNTIFS(Assessment!$B$5:$B$2000,$C40,Assessment!$C$5:$C$2000,$B40,Assessment!$J$5:$J$2000,"Yes",Assessment!$K$5:$K$2000,"&gt;=0")</f>
        <v>0</v>
      </c>
      <c r="F40" s="21" t="str">
        <f>IF(E40=0,"-",SUMPRODUCT((Assessment!$B$5:$B$2000=$C40)*(Assessment!$C$5:$C$2000=$B40)*(Assessment!$J$5:$J$2000="Yes")*ISNUMBER(Assessment!$K$5:$K$2000)*Assessment!$G$5:$G$2000*Assessment!$K$5:$K$2000)/SUMPRODUCT((Assessment!$B$5:$B$2000=$C40)*(Assessment!$C$5:$C$2000=$B40)*(Assessment!$J$5:$J$2000="Yes")*ISNUMBER(Assessment!$K$5:$K$2000)*Assessment!$G$5:$G$2000))</f>
        <v>-</v>
      </c>
      <c r="G40" s="21" t="str">
        <f>IF(E40=0,"-",SUMPRODUCT((Assessment!$B$5:$B$2000=$C40)*(Assessment!$C$5:$C$2000=$B40)*(Assessment!$J$5:$J$2000="Yes")*ISNUMBER(Assessment!$K$5:$K$2000)*Assessment!$G$5:$G$2000*Assessment!$L$5:$L$2000)/SUMPRODUCT((Assessment!$B$5:$B$2000=$C40)*(Assessment!$C$5:$C$2000=$B40)*(Assessment!$J$5:$J$2000="Yes")*ISNUMBER(Assessment!$K$5:$K$2000)*Assessment!$G$5:$G$2000))</f>
        <v>-</v>
      </c>
      <c r="H40" s="21" t="str">
        <f t="shared" si="2"/>
        <v>-</v>
      </c>
      <c r="I40" s="20" t="str">
        <f t="shared" si="3"/>
        <v>Not assessed</v>
      </c>
    </row>
    <row r="41" spans="2:9" x14ac:dyDescent="0.35">
      <c r="B41" s="17" t="s">
        <v>107</v>
      </c>
      <c r="C41" s="12" t="s">
        <v>66</v>
      </c>
      <c r="D41" s="20">
        <f>COUNTIFS(Assessment!$B$5:$B$2000,C41,Assessment!$C$5:$C$2000,B41,Assessment!$J$5:$J$2000,"Yes")</f>
        <v>4</v>
      </c>
      <c r="E41" s="20">
        <f>COUNTIFS(Assessment!$B$5:$B$2000,$C41,Assessment!$C$5:$C$2000,$B41,Assessment!$J$5:$J$2000,"Yes",Assessment!$K$5:$K$2000,"&gt;=0")</f>
        <v>0</v>
      </c>
      <c r="F41" s="21" t="str">
        <f>IF(E41=0,"-",SUMPRODUCT((Assessment!$B$5:$B$2000=$C41)*(Assessment!$C$5:$C$2000=$B41)*(Assessment!$J$5:$J$2000="Yes")*ISNUMBER(Assessment!$K$5:$K$2000)*Assessment!$G$5:$G$2000*Assessment!$K$5:$K$2000)/SUMPRODUCT((Assessment!$B$5:$B$2000=$C41)*(Assessment!$C$5:$C$2000=$B41)*(Assessment!$J$5:$J$2000="Yes")*ISNUMBER(Assessment!$K$5:$K$2000)*Assessment!$G$5:$G$2000))</f>
        <v>-</v>
      </c>
      <c r="G41" s="21" t="str">
        <f>IF(E41=0,"-",SUMPRODUCT((Assessment!$B$5:$B$2000=$C41)*(Assessment!$C$5:$C$2000=$B41)*(Assessment!$J$5:$J$2000="Yes")*ISNUMBER(Assessment!$K$5:$K$2000)*Assessment!$G$5:$G$2000*Assessment!$L$5:$L$2000)/SUMPRODUCT((Assessment!$B$5:$B$2000=$C41)*(Assessment!$C$5:$C$2000=$B41)*(Assessment!$J$5:$J$2000="Yes")*ISNUMBER(Assessment!$K$5:$K$2000)*Assessment!$G$5:$G$2000))</f>
        <v>-</v>
      </c>
      <c r="H41" s="21" t="str">
        <f t="shared" si="2"/>
        <v>-</v>
      </c>
      <c r="I41" s="20" t="str">
        <f t="shared" si="3"/>
        <v>Not assessed</v>
      </c>
    </row>
    <row r="42" spans="2:9" x14ac:dyDescent="0.35">
      <c r="B42" s="17" t="s">
        <v>108</v>
      </c>
      <c r="C42" s="12" t="s">
        <v>66</v>
      </c>
      <c r="D42" s="20">
        <f>COUNTIFS(Assessment!$B$5:$B$2000,C42,Assessment!$C$5:$C$2000,B42,Assessment!$J$5:$J$2000,"Yes")</f>
        <v>5</v>
      </c>
      <c r="E42" s="20">
        <f>COUNTIFS(Assessment!$B$5:$B$2000,$C42,Assessment!$C$5:$C$2000,$B42,Assessment!$J$5:$J$2000,"Yes",Assessment!$K$5:$K$2000,"&gt;=0")</f>
        <v>0</v>
      </c>
      <c r="F42" s="21" t="str">
        <f>IF(E42=0,"-",SUMPRODUCT((Assessment!$B$5:$B$2000=$C42)*(Assessment!$C$5:$C$2000=$B42)*(Assessment!$J$5:$J$2000="Yes")*ISNUMBER(Assessment!$K$5:$K$2000)*Assessment!$G$5:$G$2000*Assessment!$K$5:$K$2000)/SUMPRODUCT((Assessment!$B$5:$B$2000=$C42)*(Assessment!$C$5:$C$2000=$B42)*(Assessment!$J$5:$J$2000="Yes")*ISNUMBER(Assessment!$K$5:$K$2000)*Assessment!$G$5:$G$2000))</f>
        <v>-</v>
      </c>
      <c r="G42" s="21" t="str">
        <f>IF(E42=0,"-",SUMPRODUCT((Assessment!$B$5:$B$2000=$C42)*(Assessment!$C$5:$C$2000=$B42)*(Assessment!$J$5:$J$2000="Yes")*ISNUMBER(Assessment!$K$5:$K$2000)*Assessment!$G$5:$G$2000*Assessment!$L$5:$L$2000)/SUMPRODUCT((Assessment!$B$5:$B$2000=$C42)*(Assessment!$C$5:$C$2000=$B42)*(Assessment!$J$5:$J$2000="Yes")*ISNUMBER(Assessment!$K$5:$K$2000)*Assessment!$G$5:$G$2000))</f>
        <v>-</v>
      </c>
      <c r="H42" s="21" t="str">
        <f t="shared" si="2"/>
        <v>-</v>
      </c>
      <c r="I42" s="20" t="str">
        <f t="shared" si="3"/>
        <v>Not assessed</v>
      </c>
    </row>
    <row r="44" spans="2:9" ht="15.5" x14ac:dyDescent="0.35">
      <c r="B44" s="7" t="s">
        <v>109</v>
      </c>
    </row>
    <row r="45" spans="2:9" ht="21.75" customHeight="1" x14ac:dyDescent="0.35">
      <c r="B45" s="11" t="s">
        <v>110</v>
      </c>
      <c r="C45" s="11" t="s">
        <v>111</v>
      </c>
    </row>
    <row r="46" spans="2:9" x14ac:dyDescent="0.35">
      <c r="B46" s="12" t="s">
        <v>112</v>
      </c>
      <c r="C46" s="20">
        <f>COUNTIFS(Assessment!$J$5:$J$2000,"Yes",Assessment!$K$5:$K$2000,0)</f>
        <v>0</v>
      </c>
    </row>
    <row r="47" spans="2:9" x14ac:dyDescent="0.35">
      <c r="B47" s="12" t="s">
        <v>113</v>
      </c>
      <c r="C47" s="20">
        <f>COUNTIFS(Assessment!$J$5:$J$2000,"Yes",Assessment!$K$5:$K$2000,1)</f>
        <v>0</v>
      </c>
    </row>
    <row r="48" spans="2:9" x14ac:dyDescent="0.35">
      <c r="B48" s="12" t="s">
        <v>114</v>
      </c>
      <c r="C48" s="20">
        <f>COUNTIFS(Assessment!$J$5:$J$2000,"Yes",Assessment!$K$5:$K$2000,2)</f>
        <v>0</v>
      </c>
    </row>
    <row r="49" spans="2:7" x14ac:dyDescent="0.35">
      <c r="B49" s="12" t="s">
        <v>115</v>
      </c>
      <c r="C49" s="20">
        <f>COUNTIFS(Assessment!$J$5:$J$2000,"Yes",Assessment!$K$5:$K$2000,3)</f>
        <v>0</v>
      </c>
    </row>
    <row r="50" spans="2:7" x14ac:dyDescent="0.35">
      <c r="B50" s="12" t="s">
        <v>116</v>
      </c>
      <c r="C50" s="20">
        <f>COUNTIFS(Assessment!$J$5:$J$2000,"Yes",Assessment!$K$5:$K$2000,4)</f>
        <v>0</v>
      </c>
    </row>
    <row r="51" spans="2:7" x14ac:dyDescent="0.35">
      <c r="B51" s="12" t="s">
        <v>117</v>
      </c>
      <c r="C51" s="20">
        <f>COUNTIFS(Assessment!$J$5:$J$2000,"Yes",Assessment!$K$5:$K$2000,5)</f>
        <v>0</v>
      </c>
    </row>
    <row r="52" spans="2:7" x14ac:dyDescent="0.35">
      <c r="B52" s="22" t="s">
        <v>118</v>
      </c>
      <c r="C52" s="20">
        <f>COUNTIF(Assessment!$J$5:$J$2000,"Yes")-SUM(C46:C51)</f>
        <v>60</v>
      </c>
    </row>
    <row r="54" spans="2:7" ht="15.5" x14ac:dyDescent="0.35">
      <c r="B54" s="7" t="s">
        <v>119</v>
      </c>
    </row>
    <row r="55" spans="2:7" x14ac:dyDescent="0.35">
      <c r="B55" s="11" t="s">
        <v>120</v>
      </c>
      <c r="C55" s="11">
        <v>1</v>
      </c>
      <c r="D55" s="11">
        <v>2</v>
      </c>
      <c r="E55" s="11">
        <v>3</v>
      </c>
      <c r="F55" s="11">
        <v>4</v>
      </c>
      <c r="G55" s="11">
        <v>5</v>
      </c>
    </row>
    <row r="56" spans="2:7" x14ac:dyDescent="0.35">
      <c r="B56" s="9" t="s">
        <v>121</v>
      </c>
      <c r="C56" s="23">
        <f>COUNTIFS(Assessment!$T$5:$T$2000,5,Assessment!$U$5:$U$2000,1,Assessment!$J$5:$J$2000,"Yes")</f>
        <v>0</v>
      </c>
      <c r="D56" s="24">
        <f>COUNTIFS(Assessment!$T$5:$T$2000,5,Assessment!$U$5:$U$2000,2,Assessment!$J$5:$J$2000,"Yes")</f>
        <v>0</v>
      </c>
      <c r="E56" s="24">
        <f>COUNTIFS(Assessment!$T$5:$T$2000,5,Assessment!$U$5:$U$2000,3,Assessment!$J$5:$J$2000,"Yes")</f>
        <v>0</v>
      </c>
      <c r="F56" s="25">
        <f>COUNTIFS(Assessment!$T$5:$T$2000,5,Assessment!$U$5:$U$2000,4,Assessment!$J$5:$J$2000,"Yes")</f>
        <v>0</v>
      </c>
      <c r="G56" s="25">
        <f>COUNTIFS(Assessment!$T$5:$T$2000,5,Assessment!$U$5:$U$2000,5,Assessment!$J$5:$J$2000,"Yes")</f>
        <v>0</v>
      </c>
    </row>
    <row r="57" spans="2:7" x14ac:dyDescent="0.35">
      <c r="B57" s="9" t="s">
        <v>122</v>
      </c>
      <c r="C57" s="26">
        <f>COUNTIFS(Assessment!$T$5:$T$2000,4,Assessment!$U$5:$U$2000,1,Assessment!$J$5:$J$2000,"Yes")</f>
        <v>0</v>
      </c>
      <c r="D57" s="23">
        <f>COUNTIFS(Assessment!$T$5:$T$2000,4,Assessment!$U$5:$U$2000,2,Assessment!$J$5:$J$2000,"Yes")</f>
        <v>0</v>
      </c>
      <c r="E57" s="24">
        <f>COUNTIFS(Assessment!$T$5:$T$2000,4,Assessment!$U$5:$U$2000,3,Assessment!$J$5:$J$2000,"Yes")</f>
        <v>0</v>
      </c>
      <c r="F57" s="24">
        <f>COUNTIFS(Assessment!$T$5:$T$2000,4,Assessment!$U$5:$U$2000,4,Assessment!$J$5:$J$2000,"Yes")</f>
        <v>7</v>
      </c>
      <c r="G57" s="25">
        <f>COUNTIFS(Assessment!$T$5:$T$2000,4,Assessment!$U$5:$U$2000,5,Assessment!$J$5:$J$2000,"Yes")</f>
        <v>9</v>
      </c>
    </row>
    <row r="58" spans="2:7" x14ac:dyDescent="0.35">
      <c r="B58" s="9" t="s">
        <v>123</v>
      </c>
      <c r="C58" s="26">
        <f>COUNTIFS(Assessment!$T$5:$T$2000,3,Assessment!$U$5:$U$2000,1,Assessment!$J$5:$J$2000,"Yes")</f>
        <v>0</v>
      </c>
      <c r="D58" s="23">
        <f>COUNTIFS(Assessment!$T$5:$T$2000,3,Assessment!$U$5:$U$2000,2,Assessment!$J$5:$J$2000,"Yes")</f>
        <v>0</v>
      </c>
      <c r="E58" s="23">
        <f>COUNTIFS(Assessment!$T$5:$T$2000,3,Assessment!$U$5:$U$2000,3,Assessment!$J$5:$J$2000,"Yes")</f>
        <v>4</v>
      </c>
      <c r="F58" s="24">
        <f>COUNTIFS(Assessment!$T$5:$T$2000,3,Assessment!$U$5:$U$2000,4,Assessment!$J$5:$J$2000,"Yes")</f>
        <v>20</v>
      </c>
      <c r="G58" s="24">
        <f>COUNTIFS(Assessment!$T$5:$T$2000,3,Assessment!$U$5:$U$2000,5,Assessment!$J$5:$J$2000,"Yes")</f>
        <v>11</v>
      </c>
    </row>
    <row r="59" spans="2:7" x14ac:dyDescent="0.35">
      <c r="B59" s="9" t="s">
        <v>124</v>
      </c>
      <c r="C59" s="26">
        <f>COUNTIFS(Assessment!$T$5:$T$2000,2,Assessment!$U$5:$U$2000,1,Assessment!$J$5:$J$2000,"Yes")</f>
        <v>0</v>
      </c>
      <c r="D59" s="26">
        <f>COUNTIFS(Assessment!$T$5:$T$2000,2,Assessment!$U$5:$U$2000,2,Assessment!$J$5:$J$2000,"Yes")</f>
        <v>0</v>
      </c>
      <c r="E59" s="23">
        <f>COUNTIFS(Assessment!$T$5:$T$2000,2,Assessment!$U$5:$U$2000,3,Assessment!$J$5:$J$2000,"Yes")</f>
        <v>2</v>
      </c>
      <c r="F59" s="23">
        <f>COUNTIFS(Assessment!$T$5:$T$2000,2,Assessment!$U$5:$U$2000,4,Assessment!$J$5:$J$2000,"Yes")</f>
        <v>5</v>
      </c>
      <c r="G59" s="24">
        <f>COUNTIFS(Assessment!$T$5:$T$2000,2,Assessment!$U$5:$U$2000,5,Assessment!$J$5:$J$2000,"Yes")</f>
        <v>1</v>
      </c>
    </row>
    <row r="60" spans="2:7" x14ac:dyDescent="0.35">
      <c r="B60" s="9" t="s">
        <v>125</v>
      </c>
      <c r="C60" s="26">
        <f>COUNTIFS(Assessment!$T$5:$T$2000,1,Assessment!$U$5:$U$2000,1,Assessment!$J$5:$J$2000,"Yes")</f>
        <v>0</v>
      </c>
      <c r="D60" s="26">
        <f>COUNTIFS(Assessment!$T$5:$T$2000,1,Assessment!$U$5:$U$2000,2,Assessment!$J$5:$J$2000,"Yes")</f>
        <v>1</v>
      </c>
      <c r="E60" s="26">
        <f>COUNTIFS(Assessment!$T$5:$T$2000,1,Assessment!$U$5:$U$2000,3,Assessment!$J$5:$J$2000,"Yes")</f>
        <v>0</v>
      </c>
      <c r="F60" s="26">
        <f>COUNTIFS(Assessment!$T$5:$T$2000,1,Assessment!$U$5:$U$2000,4,Assessment!$J$5:$J$2000,"Yes")</f>
        <v>0</v>
      </c>
      <c r="G60" s="23">
        <f>COUNTIFS(Assessment!$T$5:$T$2000,1,Assessment!$U$5:$U$2000,5,Assessment!$J$5:$J$2000,"Yes")</f>
        <v>0</v>
      </c>
    </row>
    <row r="62" spans="2:7" ht="15.5" x14ac:dyDescent="0.35">
      <c r="B62" s="7" t="s">
        <v>126</v>
      </c>
    </row>
    <row r="63" spans="2:7" ht="21.75" customHeight="1" x14ac:dyDescent="0.35">
      <c r="B63" s="11" t="s">
        <v>127</v>
      </c>
      <c r="C63" s="11" t="s">
        <v>111</v>
      </c>
    </row>
    <row r="64" spans="2:7" x14ac:dyDescent="0.35">
      <c r="B64" s="27" t="s">
        <v>128</v>
      </c>
      <c r="C64" s="20">
        <f>COUNTIF(Assessment!$Z$5:$Z$2000,"Critical")</f>
        <v>0</v>
      </c>
    </row>
    <row r="65" spans="2:7" x14ac:dyDescent="0.35">
      <c r="B65" s="28" t="s">
        <v>129</v>
      </c>
      <c r="C65" s="20">
        <f>COUNTIF(Assessment!$Z$5:$Z$2000,"High")</f>
        <v>0</v>
      </c>
    </row>
    <row r="66" spans="2:7" x14ac:dyDescent="0.35">
      <c r="B66" s="29" t="s">
        <v>130</v>
      </c>
      <c r="C66" s="20">
        <f>COUNTIF(Assessment!$Z$5:$Z$2000,"Medium")</f>
        <v>0</v>
      </c>
    </row>
    <row r="67" spans="2:7" x14ac:dyDescent="0.35">
      <c r="B67" s="30" t="s">
        <v>131</v>
      </c>
      <c r="C67" s="20">
        <f>COUNTIF(Assessment!$Z$5:$Z$2000,"Low")</f>
        <v>0</v>
      </c>
    </row>
    <row r="69" spans="2:7" ht="15.5" x14ac:dyDescent="0.35">
      <c r="B69" s="7" t="s">
        <v>132</v>
      </c>
    </row>
    <row r="70" spans="2:7" ht="24" customHeight="1" x14ac:dyDescent="0.35">
      <c r="B70" s="11" t="s">
        <v>133</v>
      </c>
      <c r="C70" s="11" t="s">
        <v>134</v>
      </c>
      <c r="D70" s="11" t="s">
        <v>135</v>
      </c>
      <c r="E70" s="11" t="s">
        <v>136</v>
      </c>
      <c r="F70" s="11" t="s">
        <v>137</v>
      </c>
      <c r="G70" s="11" t="s">
        <v>127</v>
      </c>
    </row>
    <row r="71" spans="2:7" x14ac:dyDescent="0.35">
      <c r="B71" s="12" t="str">
        <f>IFERROR(INDEX(Assessment!$E$5:$E$2000,MATCH(LARGE(Assessment!$AA$5:$AA$2000,1),Assessment!$AA$5:$AA$2000,0)),"")</f>
        <v/>
      </c>
      <c r="C71" s="17" t="str">
        <f>IFERROR(INDEX(Assessment!$A$5:$A$2000,MATCH(LARGE(Assessment!$AA$5:$AA$2000,1),Assessment!$AA$5:$AA$2000,0)),"")</f>
        <v/>
      </c>
      <c r="D71" s="20" t="str">
        <f>IFERROR(INDEX(Assessment!$K$5:$K$2000,MATCH(LARGE(Assessment!$AA$5:$AA$2000,1),Assessment!$AA$5:$AA$2000,0)),"")</f>
        <v/>
      </c>
      <c r="E71" s="31" t="str">
        <f>IFERROR(INDEX(Assessment!$L$5:$L$2000,MATCH(LARGE(Assessment!$AA$5:$AA$2000,1),Assessment!$AA$5:$AA$2000,0)),"")</f>
        <v/>
      </c>
      <c r="F71" s="31" t="str">
        <f>IFERROR(INDEX(Assessment!$Y$5:$Y$2000,MATCH(LARGE(Assessment!$AA$5:$AA$2000,1),Assessment!$AA$5:$AA$2000,0)),"")</f>
        <v/>
      </c>
      <c r="G71" s="20" t="str">
        <f>IFERROR(INDEX(Assessment!$Z$5:$Z$2000,MATCH(LARGE(Assessment!$AA$5:$AA$2000,1),Assessment!$AA$5:$AA$2000,0)),"")</f>
        <v/>
      </c>
    </row>
    <row r="72" spans="2:7" x14ac:dyDescent="0.35">
      <c r="B72" s="12" t="str">
        <f>IFERROR(INDEX(Assessment!$E$5:$E$2000,MATCH(LARGE(Assessment!$AA$5:$AA$2000,2),Assessment!$AA$5:$AA$2000,0)),"")</f>
        <v/>
      </c>
      <c r="C72" s="17" t="str">
        <f>IFERROR(INDEX(Assessment!$A$5:$A$2000,MATCH(LARGE(Assessment!$AA$5:$AA$2000,2),Assessment!$AA$5:$AA$2000,0)),"")</f>
        <v/>
      </c>
      <c r="D72" s="20" t="str">
        <f>IFERROR(INDEX(Assessment!$K$5:$K$2000,MATCH(LARGE(Assessment!$AA$5:$AA$2000,2),Assessment!$AA$5:$AA$2000,0)),"")</f>
        <v/>
      </c>
      <c r="E72" s="31" t="str">
        <f>IFERROR(INDEX(Assessment!$L$5:$L$2000,MATCH(LARGE(Assessment!$AA$5:$AA$2000,2),Assessment!$AA$5:$AA$2000,0)),"")</f>
        <v/>
      </c>
      <c r="F72" s="31" t="str">
        <f>IFERROR(INDEX(Assessment!$Y$5:$Y$2000,MATCH(LARGE(Assessment!$AA$5:$AA$2000,2),Assessment!$AA$5:$AA$2000,0)),"")</f>
        <v/>
      </c>
      <c r="G72" s="20" t="str">
        <f>IFERROR(INDEX(Assessment!$Z$5:$Z$2000,MATCH(LARGE(Assessment!$AA$5:$AA$2000,2),Assessment!$AA$5:$AA$2000,0)),"")</f>
        <v/>
      </c>
    </row>
    <row r="73" spans="2:7" x14ac:dyDescent="0.35">
      <c r="B73" s="12" t="str">
        <f>IFERROR(INDEX(Assessment!$E$5:$E$2000,MATCH(LARGE(Assessment!$AA$5:$AA$2000,3),Assessment!$AA$5:$AA$2000,0)),"")</f>
        <v/>
      </c>
      <c r="C73" s="17" t="str">
        <f>IFERROR(INDEX(Assessment!$A$5:$A$2000,MATCH(LARGE(Assessment!$AA$5:$AA$2000,3),Assessment!$AA$5:$AA$2000,0)),"")</f>
        <v/>
      </c>
      <c r="D73" s="20" t="str">
        <f>IFERROR(INDEX(Assessment!$K$5:$K$2000,MATCH(LARGE(Assessment!$AA$5:$AA$2000,3),Assessment!$AA$5:$AA$2000,0)),"")</f>
        <v/>
      </c>
      <c r="E73" s="31" t="str">
        <f>IFERROR(INDEX(Assessment!$L$5:$L$2000,MATCH(LARGE(Assessment!$AA$5:$AA$2000,3),Assessment!$AA$5:$AA$2000,0)),"")</f>
        <v/>
      </c>
      <c r="F73" s="31" t="str">
        <f>IFERROR(INDEX(Assessment!$Y$5:$Y$2000,MATCH(LARGE(Assessment!$AA$5:$AA$2000,3),Assessment!$AA$5:$AA$2000,0)),"")</f>
        <v/>
      </c>
      <c r="G73" s="20" t="str">
        <f>IFERROR(INDEX(Assessment!$Z$5:$Z$2000,MATCH(LARGE(Assessment!$AA$5:$AA$2000,3),Assessment!$AA$5:$AA$2000,0)),"")</f>
        <v/>
      </c>
    </row>
    <row r="74" spans="2:7" x14ac:dyDescent="0.35">
      <c r="B74" s="12" t="str">
        <f>IFERROR(INDEX(Assessment!$E$5:$E$2000,MATCH(LARGE(Assessment!$AA$5:$AA$2000,4),Assessment!$AA$5:$AA$2000,0)),"")</f>
        <v/>
      </c>
      <c r="C74" s="17" t="str">
        <f>IFERROR(INDEX(Assessment!$A$5:$A$2000,MATCH(LARGE(Assessment!$AA$5:$AA$2000,4),Assessment!$AA$5:$AA$2000,0)),"")</f>
        <v/>
      </c>
      <c r="D74" s="20" t="str">
        <f>IFERROR(INDEX(Assessment!$K$5:$K$2000,MATCH(LARGE(Assessment!$AA$5:$AA$2000,4),Assessment!$AA$5:$AA$2000,0)),"")</f>
        <v/>
      </c>
      <c r="E74" s="31" t="str">
        <f>IFERROR(INDEX(Assessment!$L$5:$L$2000,MATCH(LARGE(Assessment!$AA$5:$AA$2000,4),Assessment!$AA$5:$AA$2000,0)),"")</f>
        <v/>
      </c>
      <c r="F74" s="31" t="str">
        <f>IFERROR(INDEX(Assessment!$Y$5:$Y$2000,MATCH(LARGE(Assessment!$AA$5:$AA$2000,4),Assessment!$AA$5:$AA$2000,0)),"")</f>
        <v/>
      </c>
      <c r="G74" s="20" t="str">
        <f>IFERROR(INDEX(Assessment!$Z$5:$Z$2000,MATCH(LARGE(Assessment!$AA$5:$AA$2000,4),Assessment!$AA$5:$AA$2000,0)),"")</f>
        <v/>
      </c>
    </row>
    <row r="75" spans="2:7" x14ac:dyDescent="0.35">
      <c r="B75" s="12" t="str">
        <f>IFERROR(INDEX(Assessment!$E$5:$E$2000,MATCH(LARGE(Assessment!$AA$5:$AA$2000,5),Assessment!$AA$5:$AA$2000,0)),"")</f>
        <v/>
      </c>
      <c r="C75" s="17" t="str">
        <f>IFERROR(INDEX(Assessment!$A$5:$A$2000,MATCH(LARGE(Assessment!$AA$5:$AA$2000,5),Assessment!$AA$5:$AA$2000,0)),"")</f>
        <v/>
      </c>
      <c r="D75" s="20" t="str">
        <f>IFERROR(INDEX(Assessment!$K$5:$K$2000,MATCH(LARGE(Assessment!$AA$5:$AA$2000,5),Assessment!$AA$5:$AA$2000,0)),"")</f>
        <v/>
      </c>
      <c r="E75" s="31" t="str">
        <f>IFERROR(INDEX(Assessment!$L$5:$L$2000,MATCH(LARGE(Assessment!$AA$5:$AA$2000,5),Assessment!$AA$5:$AA$2000,0)),"")</f>
        <v/>
      </c>
      <c r="F75" s="31" t="str">
        <f>IFERROR(INDEX(Assessment!$Y$5:$Y$2000,MATCH(LARGE(Assessment!$AA$5:$AA$2000,5),Assessment!$AA$5:$AA$2000,0)),"")</f>
        <v/>
      </c>
      <c r="G75" s="20" t="str">
        <f>IFERROR(INDEX(Assessment!$Z$5:$Z$2000,MATCH(LARGE(Assessment!$AA$5:$AA$2000,5),Assessment!$AA$5:$AA$2000,0)),"")</f>
        <v/>
      </c>
    </row>
    <row r="76" spans="2:7" x14ac:dyDescent="0.35">
      <c r="B76" s="12" t="str">
        <f>IFERROR(INDEX(Assessment!$E$5:$E$2000,MATCH(LARGE(Assessment!$AA$5:$AA$2000,6),Assessment!$AA$5:$AA$2000,0)),"")</f>
        <v/>
      </c>
      <c r="C76" s="17" t="str">
        <f>IFERROR(INDEX(Assessment!$A$5:$A$2000,MATCH(LARGE(Assessment!$AA$5:$AA$2000,6),Assessment!$AA$5:$AA$2000,0)),"")</f>
        <v/>
      </c>
      <c r="D76" s="20" t="str">
        <f>IFERROR(INDEX(Assessment!$K$5:$K$2000,MATCH(LARGE(Assessment!$AA$5:$AA$2000,6),Assessment!$AA$5:$AA$2000,0)),"")</f>
        <v/>
      </c>
      <c r="E76" s="31" t="str">
        <f>IFERROR(INDEX(Assessment!$L$5:$L$2000,MATCH(LARGE(Assessment!$AA$5:$AA$2000,6),Assessment!$AA$5:$AA$2000,0)),"")</f>
        <v/>
      </c>
      <c r="F76" s="31" t="str">
        <f>IFERROR(INDEX(Assessment!$Y$5:$Y$2000,MATCH(LARGE(Assessment!$AA$5:$AA$2000,6),Assessment!$AA$5:$AA$2000,0)),"")</f>
        <v/>
      </c>
      <c r="G76" s="20" t="str">
        <f>IFERROR(INDEX(Assessment!$Z$5:$Z$2000,MATCH(LARGE(Assessment!$AA$5:$AA$2000,6),Assessment!$AA$5:$AA$2000,0)),"")</f>
        <v/>
      </c>
    </row>
    <row r="77" spans="2:7" x14ac:dyDescent="0.35">
      <c r="B77" s="12" t="str">
        <f>IFERROR(INDEX(Assessment!$E$5:$E$2000,MATCH(LARGE(Assessment!$AA$5:$AA$2000,7),Assessment!$AA$5:$AA$2000,0)),"")</f>
        <v/>
      </c>
      <c r="C77" s="17" t="str">
        <f>IFERROR(INDEX(Assessment!$A$5:$A$2000,MATCH(LARGE(Assessment!$AA$5:$AA$2000,7),Assessment!$AA$5:$AA$2000,0)),"")</f>
        <v/>
      </c>
      <c r="D77" s="20" t="str">
        <f>IFERROR(INDEX(Assessment!$K$5:$K$2000,MATCH(LARGE(Assessment!$AA$5:$AA$2000,7),Assessment!$AA$5:$AA$2000,0)),"")</f>
        <v/>
      </c>
      <c r="E77" s="31" t="str">
        <f>IFERROR(INDEX(Assessment!$L$5:$L$2000,MATCH(LARGE(Assessment!$AA$5:$AA$2000,7),Assessment!$AA$5:$AA$2000,0)),"")</f>
        <v/>
      </c>
      <c r="F77" s="31" t="str">
        <f>IFERROR(INDEX(Assessment!$Y$5:$Y$2000,MATCH(LARGE(Assessment!$AA$5:$AA$2000,7),Assessment!$AA$5:$AA$2000,0)),"")</f>
        <v/>
      </c>
      <c r="G77" s="20" t="str">
        <f>IFERROR(INDEX(Assessment!$Z$5:$Z$2000,MATCH(LARGE(Assessment!$AA$5:$AA$2000,7),Assessment!$AA$5:$AA$2000,0)),"")</f>
        <v/>
      </c>
    </row>
    <row r="78" spans="2:7" x14ac:dyDescent="0.35">
      <c r="B78" s="12" t="str">
        <f>IFERROR(INDEX(Assessment!$E$5:$E$2000,MATCH(LARGE(Assessment!$AA$5:$AA$2000,8),Assessment!$AA$5:$AA$2000,0)),"")</f>
        <v/>
      </c>
      <c r="C78" s="17" t="str">
        <f>IFERROR(INDEX(Assessment!$A$5:$A$2000,MATCH(LARGE(Assessment!$AA$5:$AA$2000,8),Assessment!$AA$5:$AA$2000,0)),"")</f>
        <v/>
      </c>
      <c r="D78" s="20" t="str">
        <f>IFERROR(INDEX(Assessment!$K$5:$K$2000,MATCH(LARGE(Assessment!$AA$5:$AA$2000,8),Assessment!$AA$5:$AA$2000,0)),"")</f>
        <v/>
      </c>
      <c r="E78" s="31" t="str">
        <f>IFERROR(INDEX(Assessment!$L$5:$L$2000,MATCH(LARGE(Assessment!$AA$5:$AA$2000,8),Assessment!$AA$5:$AA$2000,0)),"")</f>
        <v/>
      </c>
      <c r="F78" s="31" t="str">
        <f>IFERROR(INDEX(Assessment!$Y$5:$Y$2000,MATCH(LARGE(Assessment!$AA$5:$AA$2000,8),Assessment!$AA$5:$AA$2000,0)),"")</f>
        <v/>
      </c>
      <c r="G78" s="20" t="str">
        <f>IFERROR(INDEX(Assessment!$Z$5:$Z$2000,MATCH(LARGE(Assessment!$AA$5:$AA$2000,8),Assessment!$AA$5:$AA$2000,0)),"")</f>
        <v/>
      </c>
    </row>
    <row r="79" spans="2:7" x14ac:dyDescent="0.35">
      <c r="B79" s="12" t="str">
        <f>IFERROR(INDEX(Assessment!$E$5:$E$2000,MATCH(LARGE(Assessment!$AA$5:$AA$2000,9),Assessment!$AA$5:$AA$2000,0)),"")</f>
        <v/>
      </c>
      <c r="C79" s="17" t="str">
        <f>IFERROR(INDEX(Assessment!$A$5:$A$2000,MATCH(LARGE(Assessment!$AA$5:$AA$2000,9),Assessment!$AA$5:$AA$2000,0)),"")</f>
        <v/>
      </c>
      <c r="D79" s="20" t="str">
        <f>IFERROR(INDEX(Assessment!$K$5:$K$2000,MATCH(LARGE(Assessment!$AA$5:$AA$2000,9),Assessment!$AA$5:$AA$2000,0)),"")</f>
        <v/>
      </c>
      <c r="E79" s="31" t="str">
        <f>IFERROR(INDEX(Assessment!$L$5:$L$2000,MATCH(LARGE(Assessment!$AA$5:$AA$2000,9),Assessment!$AA$5:$AA$2000,0)),"")</f>
        <v/>
      </c>
      <c r="F79" s="31" t="str">
        <f>IFERROR(INDEX(Assessment!$Y$5:$Y$2000,MATCH(LARGE(Assessment!$AA$5:$AA$2000,9),Assessment!$AA$5:$AA$2000,0)),"")</f>
        <v/>
      </c>
      <c r="G79" s="20" t="str">
        <f>IFERROR(INDEX(Assessment!$Z$5:$Z$2000,MATCH(LARGE(Assessment!$AA$5:$AA$2000,9),Assessment!$AA$5:$AA$2000,0)),"")</f>
        <v/>
      </c>
    </row>
    <row r="80" spans="2:7" x14ac:dyDescent="0.35">
      <c r="B80" s="12" t="str">
        <f>IFERROR(INDEX(Assessment!$E$5:$E$2000,MATCH(LARGE(Assessment!$AA$5:$AA$2000,10),Assessment!$AA$5:$AA$2000,0)),"")</f>
        <v/>
      </c>
      <c r="C80" s="17" t="str">
        <f>IFERROR(INDEX(Assessment!$A$5:$A$2000,MATCH(LARGE(Assessment!$AA$5:$AA$2000,10),Assessment!$AA$5:$AA$2000,0)),"")</f>
        <v/>
      </c>
      <c r="D80" s="20" t="str">
        <f>IFERROR(INDEX(Assessment!$K$5:$K$2000,MATCH(LARGE(Assessment!$AA$5:$AA$2000,10),Assessment!$AA$5:$AA$2000,0)),"")</f>
        <v/>
      </c>
      <c r="E80" s="31" t="str">
        <f>IFERROR(INDEX(Assessment!$L$5:$L$2000,MATCH(LARGE(Assessment!$AA$5:$AA$2000,10),Assessment!$AA$5:$AA$2000,0)),"")</f>
        <v/>
      </c>
      <c r="F80" s="31" t="str">
        <f>IFERROR(INDEX(Assessment!$Y$5:$Y$2000,MATCH(LARGE(Assessment!$AA$5:$AA$2000,10),Assessment!$AA$5:$AA$2000,0)),"")</f>
        <v/>
      </c>
      <c r="G80" s="20" t="str">
        <f>IFERROR(INDEX(Assessment!$Z$5:$Z$2000,MATCH(LARGE(Assessment!$AA$5:$AA$2000,10),Assessment!$AA$5:$AA$2000,0)),"")</f>
        <v/>
      </c>
    </row>
    <row r="82" spans="2:5" ht="15.5" x14ac:dyDescent="0.35">
      <c r="B82" s="7" t="s">
        <v>138</v>
      </c>
    </row>
    <row r="83" spans="2:5" ht="24" customHeight="1" x14ac:dyDescent="0.35">
      <c r="B83" s="11" t="s">
        <v>139</v>
      </c>
      <c r="C83" s="11" t="s">
        <v>140</v>
      </c>
      <c r="D83" s="11" t="s">
        <v>141</v>
      </c>
      <c r="E83" s="11" t="s">
        <v>142</v>
      </c>
    </row>
    <row r="84" spans="2:5" x14ac:dyDescent="0.35">
      <c r="B84" s="27" t="s">
        <v>128</v>
      </c>
      <c r="C84" s="20">
        <f>COUNTIF(Findings_Register!$F$6:$F$205,B84)</f>
        <v>0</v>
      </c>
      <c r="D84" s="20">
        <f>COUNTIFS(Findings_Register!$F$6:$F$205,B84,Findings_Register!$K$6:$K$205,"Open")+COUNTIFS(Findings_Register!$F$6:$F$205,B84,Findings_Register!$K$6:$K$205,"In Progress")</f>
        <v>0</v>
      </c>
      <c r="E84" s="20">
        <f>COUNTIFS(Findings_Register!$F$6:$F$205,B84,Findings_Register!$N$6:$N$205,"Overdue")</f>
        <v>0</v>
      </c>
    </row>
    <row r="85" spans="2:5" x14ac:dyDescent="0.35">
      <c r="B85" s="28" t="s">
        <v>129</v>
      </c>
      <c r="C85" s="20">
        <f>COUNTIF(Findings_Register!$F$6:$F$205,B85)</f>
        <v>0</v>
      </c>
      <c r="D85" s="20">
        <f>COUNTIFS(Findings_Register!$F$6:$F$205,B85,Findings_Register!$K$6:$K$205,"Open")+COUNTIFS(Findings_Register!$F$6:$F$205,B85,Findings_Register!$K$6:$K$205,"In Progress")</f>
        <v>0</v>
      </c>
      <c r="E85" s="20">
        <f>COUNTIFS(Findings_Register!$F$6:$F$205,B85,Findings_Register!$N$6:$N$205,"Overdue")</f>
        <v>0</v>
      </c>
    </row>
    <row r="86" spans="2:5" x14ac:dyDescent="0.35">
      <c r="B86" s="29" t="s">
        <v>130</v>
      </c>
      <c r="C86" s="20">
        <f>COUNTIF(Findings_Register!$F$6:$F$205,B86)</f>
        <v>0</v>
      </c>
      <c r="D86" s="20">
        <f>COUNTIFS(Findings_Register!$F$6:$F$205,B86,Findings_Register!$K$6:$K$205,"Open")+COUNTIFS(Findings_Register!$F$6:$F$205,B86,Findings_Register!$K$6:$K$205,"In Progress")</f>
        <v>0</v>
      </c>
      <c r="E86" s="20">
        <f>COUNTIFS(Findings_Register!$F$6:$F$205,B86,Findings_Register!$N$6:$N$205,"Overdue")</f>
        <v>0</v>
      </c>
    </row>
    <row r="87" spans="2:5" x14ac:dyDescent="0.35">
      <c r="B87" s="30" t="s">
        <v>131</v>
      </c>
      <c r="C87" s="20">
        <f>COUNTIF(Findings_Register!$F$6:$F$205,B87)</f>
        <v>0</v>
      </c>
      <c r="D87" s="20">
        <f>COUNTIFS(Findings_Register!$F$6:$F$205,B87,Findings_Register!$K$6:$K$205,"Open")+COUNTIFS(Findings_Register!$F$6:$F$205,B87,Findings_Register!$K$6:$K$205,"In Progress")</f>
        <v>0</v>
      </c>
      <c r="E87" s="20">
        <f>COUNTIFS(Findings_Register!$F$6:$F$205,B87,Findings_Register!$N$6:$N$205,"Overdue")</f>
        <v>0</v>
      </c>
    </row>
    <row r="88" spans="2:5" x14ac:dyDescent="0.35">
      <c r="B88" s="32" t="s">
        <v>143</v>
      </c>
      <c r="C88" s="20">
        <f>COUNTIF(Findings_Register!$F$6:$F$205,B88)</f>
        <v>0</v>
      </c>
      <c r="D88" s="20">
        <f>COUNTIFS(Findings_Register!$F$6:$F$205,B88,Findings_Register!$K$6:$K$205,"Open")+COUNTIFS(Findings_Register!$F$6:$F$205,B88,Findings_Register!$K$6:$K$205,"In Progress")</f>
        <v>0</v>
      </c>
      <c r="E88" s="20">
        <f>COUNTIFS(Findings_Register!$F$6:$F$205,B88,Findings_Register!$N$6:$N$205,"Overdue")</f>
        <v>0</v>
      </c>
    </row>
    <row r="90" spans="2:5" ht="15.5" x14ac:dyDescent="0.35">
      <c r="B90" s="7" t="s">
        <v>144</v>
      </c>
    </row>
    <row r="91" spans="2:5" ht="21.75" customHeight="1" x14ac:dyDescent="0.35">
      <c r="B91" s="11" t="s">
        <v>145</v>
      </c>
      <c r="C91" s="11" t="s">
        <v>146</v>
      </c>
    </row>
    <row r="92" spans="2:5" x14ac:dyDescent="0.35">
      <c r="B92" s="12" t="s">
        <v>147</v>
      </c>
      <c r="C92" s="33">
        <f>COUNTIF(Remediation_Tracker!$J$6:$J$205,"Not Started")</f>
        <v>0</v>
      </c>
    </row>
    <row r="93" spans="2:5" x14ac:dyDescent="0.35">
      <c r="B93" s="12" t="s">
        <v>148</v>
      </c>
      <c r="C93" s="33">
        <f>COUNTIF(Remediation_Tracker!$J$6:$J$205,"In Progress")</f>
        <v>0</v>
      </c>
    </row>
    <row r="94" spans="2:5" x14ac:dyDescent="0.35">
      <c r="B94" s="12" t="s">
        <v>149</v>
      </c>
      <c r="C94" s="33">
        <f>COUNTIF(Remediation_Tracker!$J$6:$J$205,"Blocked")</f>
        <v>0</v>
      </c>
    </row>
    <row r="95" spans="2:5" x14ac:dyDescent="0.35">
      <c r="B95" s="12" t="s">
        <v>150</v>
      </c>
      <c r="C95" s="33">
        <f>COUNTIF(Remediation_Tracker!$J$6:$J$205,"Completed")+COUNTIF(Remediation_Tracker!$J$6:$J$205,"Verified")</f>
        <v>0</v>
      </c>
    </row>
    <row r="96" spans="2:5" x14ac:dyDescent="0.35">
      <c r="B96" s="12" t="s">
        <v>151</v>
      </c>
      <c r="C96" s="33">
        <f ca="1">COUNTIF(Remediation_Tracker!$M$6:$M$205,"Overdue")</f>
        <v>0</v>
      </c>
    </row>
    <row r="97" spans="2:5" x14ac:dyDescent="0.35">
      <c r="B97" s="12" t="s">
        <v>152</v>
      </c>
      <c r="C97" s="34">
        <f>IFERROR(AVERAGE(Remediation_Tracker!$K$6:$K$205),0)</f>
        <v>0</v>
      </c>
    </row>
    <row r="98" spans="2:5" x14ac:dyDescent="0.35">
      <c r="B98" s="12" t="s">
        <v>153</v>
      </c>
      <c r="C98" s="34">
        <f>IFERROR(COUNTIF(Evidence_Requests!$F$5:$F$261,"Received")/COUNTA(Evidence_Requests!$A$5:$A$261),0)</f>
        <v>0</v>
      </c>
    </row>
    <row r="100" spans="2:5" ht="15.5" x14ac:dyDescent="0.35">
      <c r="B100" s="7" t="s">
        <v>154</v>
      </c>
    </row>
    <row r="101" spans="2:5" ht="36" x14ac:dyDescent="0.35">
      <c r="B101" s="15" t="s">
        <v>155</v>
      </c>
    </row>
    <row r="102" spans="2:5" ht="30" customHeight="1" x14ac:dyDescent="0.35">
      <c r="B102" s="11" t="s">
        <v>156</v>
      </c>
      <c r="C102" s="11" t="s">
        <v>157</v>
      </c>
      <c r="D102" s="11" t="s">
        <v>158</v>
      </c>
      <c r="E102" s="11" t="s">
        <v>159</v>
      </c>
    </row>
    <row r="103" spans="2:5" x14ac:dyDescent="0.35">
      <c r="B103" s="17" t="s">
        <v>160</v>
      </c>
      <c r="C103" s="21" t="str">
        <f>B5</f>
        <v>n/a</v>
      </c>
      <c r="D103" s="33">
        <f>I5</f>
        <v>0</v>
      </c>
      <c r="E103" s="33">
        <f>K5</f>
        <v>0</v>
      </c>
    </row>
    <row r="104" spans="2:5" x14ac:dyDescent="0.35">
      <c r="B104" s="10"/>
      <c r="C104" s="35"/>
      <c r="D104" s="13"/>
      <c r="E104" s="13"/>
    </row>
    <row r="105" spans="2:5" x14ac:dyDescent="0.35">
      <c r="B105" s="10"/>
      <c r="C105" s="35"/>
      <c r="D105" s="13"/>
      <c r="E105" s="13"/>
    </row>
    <row r="106" spans="2:5" x14ac:dyDescent="0.35">
      <c r="B106" s="10"/>
      <c r="C106" s="35"/>
      <c r="D106" s="13"/>
      <c r="E106" s="13"/>
    </row>
    <row r="107" spans="2:5" x14ac:dyDescent="0.35">
      <c r="B107" s="10"/>
      <c r="C107" s="35"/>
      <c r="D107" s="13"/>
      <c r="E107" s="13"/>
    </row>
    <row r="108" spans="2:5" x14ac:dyDescent="0.35">
      <c r="B108" s="10"/>
      <c r="C108" s="35"/>
      <c r="D108" s="13"/>
      <c r="E108" s="13"/>
    </row>
    <row r="109" spans="2:5" x14ac:dyDescent="0.35">
      <c r="B109" s="10"/>
      <c r="C109" s="35"/>
      <c r="D109" s="13"/>
      <c r="E109" s="13"/>
    </row>
  </sheetData>
  <mergeCells count="10">
    <mergeCell ref="C5:D5"/>
    <mergeCell ref="E5:F5"/>
    <mergeCell ref="G5:H5"/>
    <mergeCell ref="I5:J5"/>
    <mergeCell ref="K5:L5"/>
    <mergeCell ref="C4:D4"/>
    <mergeCell ref="E4:F4"/>
    <mergeCell ref="G4:H4"/>
    <mergeCell ref="I4:J4"/>
    <mergeCell ref="K4:L4"/>
  </mergeCells>
  <conditionalFormatting sqref="F9:G26">
    <cfRule type="colorScale" priority="2">
      <colorScale>
        <cfvo type="num" val="0"/>
        <cfvo type="num" val="2.5"/>
        <cfvo type="num" val="5"/>
        <color rgb="FFF8696B"/>
        <color rgb="FFFFEB84"/>
        <color rgb="FF63BE7B"/>
      </colorScale>
    </cfRule>
  </conditionalFormatting>
  <conditionalFormatting sqref="F30:G42">
    <cfRule type="colorScale" priority="3">
      <colorScale>
        <cfvo type="num" val="0"/>
        <cfvo type="num" val="2.5"/>
        <cfvo type="num" val="5"/>
        <color rgb="FFF8696B"/>
        <color rgb="FFFFEB84"/>
        <color rgb="FF63BE7B"/>
      </colorScale>
    </cfRule>
  </conditionalFormatting>
  <conditionalFormatting sqref="G71:G80">
    <cfRule type="cellIs" dxfId="50" priority="10" operator="equal">
      <formula>"Low"</formula>
    </cfRule>
    <cfRule type="cellIs" dxfId="49" priority="11" operator="equal">
      <formula>"Medium"</formula>
    </cfRule>
    <cfRule type="cellIs" dxfId="48" priority="12" operator="equal">
      <formula>"High"</formula>
    </cfRule>
    <cfRule type="cellIs" dxfId="47" priority="13" operator="equal">
      <formula>"Critical"</formula>
    </cfRule>
  </conditionalFormatting>
  <conditionalFormatting sqref="I9:I26">
    <cfRule type="cellIs" dxfId="46" priority="4" operator="equal">
      <formula>"Significant gap"</formula>
    </cfRule>
    <cfRule type="cellIs" dxfId="45" priority="5" operator="equal">
      <formula>"On target"</formula>
    </cfRule>
    <cfRule type="cellIs" dxfId="44" priority="6" operator="equal">
      <formula>"Minor gap"</formula>
    </cfRule>
  </conditionalFormatting>
  <conditionalFormatting sqref="I30:I42">
    <cfRule type="cellIs" dxfId="43" priority="7" operator="equal">
      <formula>"Significant gap"</formula>
    </cfRule>
    <cfRule type="cellIs" dxfId="42" priority="8" operator="equal">
      <formula>"On target"</formula>
    </cfRule>
    <cfRule type="cellIs" dxfId="41" priority="9" operator="equal">
      <formula>"Minor gap"</formula>
    </cfRule>
  </conditionalFormatting>
  <pageMargins left="0.75" right="0.75" top="1" bottom="1" header="0.511811023622047" footer="0.511811023622047"/>
  <pageSetup fitToHeight="0" orientation="landscape" horizontalDpi="300" verticalDpi="300"/>
  <headerFooter>
    <oddHeader>&amp;C&amp;"Aptos"&amp;10&amp;K000000 Confidential&amp;1#_x000D_</oddHeader>
    <oddFooter>&amp;C_x000D_&amp;1#&amp;"Aptos"&amp;10&amp;K000000 This is a confidential document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A64"/>
  <sheetViews>
    <sheetView zoomScaleNormal="100" workbookViewId="0">
      <pane xSplit="5" ySplit="4" topLeftCell="F163" activePane="bottomRight" state="frozen"/>
      <selection pane="topRight" activeCell="F1" sqref="F1"/>
      <selection pane="bottomLeft" activeCell="A5" sqref="A5"/>
      <selection pane="bottomRight"/>
    </sheetView>
  </sheetViews>
  <sheetFormatPr defaultColWidth="8.6328125" defaultRowHeight="14.5" x14ac:dyDescent="0.35"/>
  <cols>
    <col min="1" max="1" width="14" customWidth="1"/>
    <col min="2" max="2" width="18" customWidth="1"/>
    <col min="3" max="3" width="22" customWidth="1"/>
    <col min="4" max="4" width="11" customWidth="1"/>
    <col min="5" max="5" width="36" customWidth="1"/>
    <col min="6" max="6" width="48" customWidth="1"/>
    <col min="7" max="7" width="8" customWidth="1"/>
    <col min="8" max="9" width="10" customWidth="1"/>
    <col min="10" max="10" width="11" customWidth="1"/>
    <col min="11" max="12" width="12" customWidth="1"/>
    <col min="13" max="13" width="7" customWidth="1"/>
    <col min="14" max="14" width="14" customWidth="1"/>
    <col min="15" max="15" width="24" customWidth="1"/>
    <col min="16" max="16" width="18" customWidth="1"/>
    <col min="17" max="17" width="44" customWidth="1"/>
    <col min="18" max="19" width="11" customWidth="1"/>
    <col min="20" max="22" width="10" customWidth="1"/>
    <col min="23" max="23" width="11" customWidth="1"/>
    <col min="24" max="24" width="12" customWidth="1"/>
    <col min="25" max="25" width="10" customWidth="1"/>
    <col min="26" max="26" width="11" customWidth="1"/>
    <col min="27" max="27" width="10" hidden="1" customWidth="1"/>
  </cols>
  <sheetData>
    <row r="1" spans="1:27" ht="20" x14ac:dyDescent="0.4">
      <c r="A1" s="8" t="s">
        <v>161</v>
      </c>
    </row>
    <row r="2" spans="1:27" x14ac:dyDescent="0.35">
      <c r="A2" s="6" t="s">
        <v>162</v>
      </c>
    </row>
    <row r="4" spans="1:27" ht="48" customHeight="1" x14ac:dyDescent="0.35">
      <c r="A4" s="11" t="s">
        <v>134</v>
      </c>
      <c r="B4" s="11" t="s">
        <v>61</v>
      </c>
      <c r="C4" s="11" t="s">
        <v>163</v>
      </c>
      <c r="D4" s="11" t="s">
        <v>50</v>
      </c>
      <c r="E4" s="11" t="s">
        <v>164</v>
      </c>
      <c r="F4" s="11" t="s">
        <v>165</v>
      </c>
      <c r="G4" s="11" t="s">
        <v>166</v>
      </c>
      <c r="H4" s="11" t="s">
        <v>167</v>
      </c>
      <c r="I4" s="11" t="s">
        <v>168</v>
      </c>
      <c r="J4" s="11" t="s">
        <v>169</v>
      </c>
      <c r="K4" s="11" t="s">
        <v>170</v>
      </c>
      <c r="L4" s="11" t="s">
        <v>171</v>
      </c>
      <c r="M4" s="11" t="s">
        <v>93</v>
      </c>
      <c r="N4" s="11" t="s">
        <v>94</v>
      </c>
      <c r="O4" s="11" t="s">
        <v>172</v>
      </c>
      <c r="P4" s="11" t="s">
        <v>173</v>
      </c>
      <c r="Q4" s="11" t="s">
        <v>174</v>
      </c>
      <c r="R4" s="11" t="s">
        <v>175</v>
      </c>
      <c r="S4" s="11" t="s">
        <v>176</v>
      </c>
      <c r="T4" s="11" t="s">
        <v>177</v>
      </c>
      <c r="U4" s="11" t="s">
        <v>178</v>
      </c>
      <c r="V4" s="11" t="s">
        <v>179</v>
      </c>
      <c r="W4" s="11" t="s">
        <v>180</v>
      </c>
      <c r="X4" s="11" t="s">
        <v>181</v>
      </c>
      <c r="Y4" s="11" t="s">
        <v>182</v>
      </c>
      <c r="Z4" s="11" t="s">
        <v>183</v>
      </c>
      <c r="AA4" s="11" t="s">
        <v>184</v>
      </c>
    </row>
    <row r="5" spans="1:27" ht="37.5" x14ac:dyDescent="0.35">
      <c r="A5" s="36" t="s">
        <v>185</v>
      </c>
      <c r="B5" s="37" t="s">
        <v>66</v>
      </c>
      <c r="C5" s="37" t="s">
        <v>97</v>
      </c>
      <c r="D5" s="37" t="s">
        <v>186</v>
      </c>
      <c r="E5" s="37" t="s">
        <v>187</v>
      </c>
      <c r="F5" s="37" t="s">
        <v>188</v>
      </c>
      <c r="G5" s="38">
        <v>2</v>
      </c>
      <c r="H5" s="38">
        <v>2</v>
      </c>
      <c r="I5" s="38">
        <v>5</v>
      </c>
      <c r="J5" s="13" t="str">
        <f>IF(IFERROR(INDEX(Scope!$C$24:$C$41,MATCH($B5,Scope!$B$24:$B$41,0)),"Yes")="No","No",IF($D5="All","Yes",IF(IFERROR(INDEX(Scope!$C$18:$C$20,MATCH($D5,Scope!$B$18:$B$20,0)),"Yes")="No","No","Yes")))</f>
        <v>Yes</v>
      </c>
      <c r="K5" s="13"/>
      <c r="L5" s="39">
        <f>Scope!$C$13</f>
        <v>3</v>
      </c>
      <c r="M5" s="31" t="str">
        <f t="shared" ref="M5:M36" si="0">IF(AND(J5="Yes",K5&lt;&gt;""),MAX(0,L5-K5),"")</f>
        <v/>
      </c>
      <c r="N5" s="20" t="str">
        <f t="shared" ref="N5:N36" si="1">IF(J5="No","N/A",IF(K5="","Not assessed",IF(K5&gt;=L5,"Meets target","Gap")))</f>
        <v>Not assessed</v>
      </c>
      <c r="O5" s="10"/>
      <c r="P5" s="10"/>
      <c r="Q5" s="10"/>
      <c r="R5" s="13"/>
      <c r="S5" s="13"/>
      <c r="T5" s="20">
        <f t="shared" ref="T5:T36" si="2">IF(R5&lt;&gt;"",R5,H5)</f>
        <v>2</v>
      </c>
      <c r="U5" s="20">
        <f t="shared" ref="U5:U36" si="3">IF(S5&lt;&gt;"",S5,I5)</f>
        <v>5</v>
      </c>
      <c r="V5" s="20">
        <f t="shared" ref="V5:V36" si="4">T5*U5</f>
        <v>10</v>
      </c>
      <c r="W5" s="20" t="str">
        <f>INDEX(Risk_Model!$B$30:$B$33,MATCH(V5,Risk_Model!$A$30:$A$33,1))</f>
        <v>High</v>
      </c>
      <c r="X5" s="34" t="str">
        <f>IF(OR(J5="No",K5=""),"",INDEX(Risk_Model!$C$38:$C$43,MATCH(K5,Risk_Model!$A$38:$A$43,0)))</f>
        <v/>
      </c>
      <c r="Y5" s="31" t="str">
        <f t="shared" ref="Y5:Y36" si="5">IF(X5="","",ROUND(V5*(1-X5),1))</f>
        <v/>
      </c>
      <c r="Z5" s="20" t="str">
        <f>IF(Y5="","",INDEX(Risk_Model!$B$30:$B$33,MATCH(Y5,Risk_Model!$A$30:$A$33,1)))</f>
        <v/>
      </c>
      <c r="AA5" s="40" t="str">
        <f t="shared" ref="AA5:AA36" si="6">IF(Y5="","",Y5+ROW()/1000000)</f>
        <v/>
      </c>
    </row>
    <row r="6" spans="1:27" ht="37.5" x14ac:dyDescent="0.35">
      <c r="A6" s="36" t="s">
        <v>189</v>
      </c>
      <c r="B6" s="37" t="s">
        <v>66</v>
      </c>
      <c r="C6" s="37" t="s">
        <v>97</v>
      </c>
      <c r="D6" s="37" t="s">
        <v>186</v>
      </c>
      <c r="E6" s="37" t="s">
        <v>190</v>
      </c>
      <c r="F6" s="37" t="s">
        <v>191</v>
      </c>
      <c r="G6" s="38">
        <v>3</v>
      </c>
      <c r="H6" s="38">
        <v>3</v>
      </c>
      <c r="I6" s="38">
        <v>5</v>
      </c>
      <c r="J6" s="13" t="str">
        <f>IF(IFERROR(INDEX(Scope!$C$24:$C$41,MATCH($B6,Scope!$B$24:$B$41,0)),"Yes")="No","No",IF($D6="All","Yes",IF(IFERROR(INDEX(Scope!$C$18:$C$20,MATCH($D6,Scope!$B$18:$B$20,0)),"Yes")="No","No","Yes")))</f>
        <v>Yes</v>
      </c>
      <c r="K6" s="13"/>
      <c r="L6" s="39">
        <f>Scope!$C$13</f>
        <v>3</v>
      </c>
      <c r="M6" s="31" t="str">
        <f t="shared" si="0"/>
        <v/>
      </c>
      <c r="N6" s="20" t="str">
        <f t="shared" si="1"/>
        <v>Not assessed</v>
      </c>
      <c r="O6" s="10"/>
      <c r="P6" s="10"/>
      <c r="Q6" s="10"/>
      <c r="R6" s="13"/>
      <c r="S6" s="13"/>
      <c r="T6" s="20">
        <f t="shared" si="2"/>
        <v>3</v>
      </c>
      <c r="U6" s="20">
        <f t="shared" si="3"/>
        <v>5</v>
      </c>
      <c r="V6" s="20">
        <f t="shared" si="4"/>
        <v>15</v>
      </c>
      <c r="W6" s="20" t="str">
        <f>INDEX(Risk_Model!$B$30:$B$33,MATCH(V6,Risk_Model!$A$30:$A$33,1))</f>
        <v>High</v>
      </c>
      <c r="X6" s="34" t="str">
        <f>IF(OR(J6="No",K6=""),"",INDEX(Risk_Model!$C$38:$C$43,MATCH(K6,Risk_Model!$A$38:$A$43,0)))</f>
        <v/>
      </c>
      <c r="Y6" s="31" t="str">
        <f t="shared" si="5"/>
        <v/>
      </c>
      <c r="Z6" s="20" t="str">
        <f>IF(Y6="","",INDEX(Risk_Model!$B$30:$B$33,MATCH(Y6,Risk_Model!$A$30:$A$33,1)))</f>
        <v/>
      </c>
      <c r="AA6" s="40" t="str">
        <f t="shared" si="6"/>
        <v/>
      </c>
    </row>
    <row r="7" spans="1:27" ht="37.5" x14ac:dyDescent="0.35">
      <c r="A7" s="36" t="s">
        <v>192</v>
      </c>
      <c r="B7" s="37" t="s">
        <v>66</v>
      </c>
      <c r="C7" s="37" t="s">
        <v>97</v>
      </c>
      <c r="D7" s="37" t="s">
        <v>186</v>
      </c>
      <c r="E7" s="37" t="s">
        <v>193</v>
      </c>
      <c r="F7" s="37" t="s">
        <v>194</v>
      </c>
      <c r="G7" s="38">
        <v>1</v>
      </c>
      <c r="H7" s="38">
        <v>2</v>
      </c>
      <c r="I7" s="38">
        <v>4</v>
      </c>
      <c r="J7" s="13" t="str">
        <f>IF(IFERROR(INDEX(Scope!$C$24:$C$41,MATCH($B7,Scope!$B$24:$B$41,0)),"Yes")="No","No",IF($D7="All","Yes",IF(IFERROR(INDEX(Scope!$C$18:$C$20,MATCH($D7,Scope!$B$18:$B$20,0)),"Yes")="No","No","Yes")))</f>
        <v>Yes</v>
      </c>
      <c r="K7" s="13"/>
      <c r="L7" s="39">
        <f>Scope!$C$13</f>
        <v>3</v>
      </c>
      <c r="M7" s="31" t="str">
        <f t="shared" si="0"/>
        <v/>
      </c>
      <c r="N7" s="20" t="str">
        <f t="shared" si="1"/>
        <v>Not assessed</v>
      </c>
      <c r="O7" s="10"/>
      <c r="P7" s="10"/>
      <c r="Q7" s="10"/>
      <c r="R7" s="13"/>
      <c r="S7" s="13"/>
      <c r="T7" s="20">
        <f t="shared" si="2"/>
        <v>2</v>
      </c>
      <c r="U7" s="20">
        <f t="shared" si="3"/>
        <v>4</v>
      </c>
      <c r="V7" s="20">
        <f t="shared" si="4"/>
        <v>8</v>
      </c>
      <c r="W7" s="20" t="str">
        <f>INDEX(Risk_Model!$B$30:$B$33,MATCH(V7,Risk_Model!$A$30:$A$33,1))</f>
        <v>Medium</v>
      </c>
      <c r="X7" s="34" t="str">
        <f>IF(OR(J7="No",K7=""),"",INDEX(Risk_Model!$C$38:$C$43,MATCH(K7,Risk_Model!$A$38:$A$43,0)))</f>
        <v/>
      </c>
      <c r="Y7" s="31" t="str">
        <f t="shared" si="5"/>
        <v/>
      </c>
      <c r="Z7" s="20" t="str">
        <f>IF(Y7="","",INDEX(Risk_Model!$B$30:$B$33,MATCH(Y7,Risk_Model!$A$30:$A$33,1)))</f>
        <v/>
      </c>
      <c r="AA7" s="40" t="str">
        <f t="shared" si="6"/>
        <v/>
      </c>
    </row>
    <row r="8" spans="1:27" ht="50" x14ac:dyDescent="0.35">
      <c r="A8" s="36" t="s">
        <v>195</v>
      </c>
      <c r="B8" s="37" t="s">
        <v>66</v>
      </c>
      <c r="C8" s="37" t="s">
        <v>97</v>
      </c>
      <c r="D8" s="37" t="s">
        <v>186</v>
      </c>
      <c r="E8" s="37" t="s">
        <v>196</v>
      </c>
      <c r="F8" s="37" t="s">
        <v>197</v>
      </c>
      <c r="G8" s="38">
        <v>2</v>
      </c>
      <c r="H8" s="38">
        <v>2</v>
      </c>
      <c r="I8" s="38">
        <v>4</v>
      </c>
      <c r="J8" s="13" t="str">
        <f>IF(IFERROR(INDEX(Scope!$C$24:$C$41,MATCH($B8,Scope!$B$24:$B$41,0)),"Yes")="No","No",IF($D8="All","Yes",IF(IFERROR(INDEX(Scope!$C$18:$C$20,MATCH($D8,Scope!$B$18:$B$20,0)),"Yes")="No","No","Yes")))</f>
        <v>Yes</v>
      </c>
      <c r="K8" s="13"/>
      <c r="L8" s="39">
        <f>Scope!$C$13</f>
        <v>3</v>
      </c>
      <c r="M8" s="31" t="str">
        <f t="shared" si="0"/>
        <v/>
      </c>
      <c r="N8" s="20" t="str">
        <f t="shared" si="1"/>
        <v>Not assessed</v>
      </c>
      <c r="O8" s="10"/>
      <c r="P8" s="10"/>
      <c r="Q8" s="10"/>
      <c r="R8" s="13"/>
      <c r="S8" s="13"/>
      <c r="T8" s="20">
        <f t="shared" si="2"/>
        <v>2</v>
      </c>
      <c r="U8" s="20">
        <f t="shared" si="3"/>
        <v>4</v>
      </c>
      <c r="V8" s="20">
        <f t="shared" si="4"/>
        <v>8</v>
      </c>
      <c r="W8" s="20" t="str">
        <f>INDEX(Risk_Model!$B$30:$B$33,MATCH(V8,Risk_Model!$A$30:$A$33,1))</f>
        <v>Medium</v>
      </c>
      <c r="X8" s="34" t="str">
        <f>IF(OR(J8="No",K8=""),"",INDEX(Risk_Model!$C$38:$C$43,MATCH(K8,Risk_Model!$A$38:$A$43,0)))</f>
        <v/>
      </c>
      <c r="Y8" s="31" t="str">
        <f t="shared" si="5"/>
        <v/>
      </c>
      <c r="Z8" s="20" t="str">
        <f>IF(Y8="","",INDEX(Risk_Model!$B$30:$B$33,MATCH(Y8,Risk_Model!$A$30:$A$33,1)))</f>
        <v/>
      </c>
      <c r="AA8" s="40" t="str">
        <f t="shared" si="6"/>
        <v/>
      </c>
    </row>
    <row r="9" spans="1:27" ht="37.5" x14ac:dyDescent="0.35">
      <c r="A9" s="36" t="s">
        <v>198</v>
      </c>
      <c r="B9" s="37" t="s">
        <v>66</v>
      </c>
      <c r="C9" s="37" t="s">
        <v>98</v>
      </c>
      <c r="D9" s="37" t="s">
        <v>186</v>
      </c>
      <c r="E9" s="37" t="s">
        <v>199</v>
      </c>
      <c r="F9" s="37" t="s">
        <v>200</v>
      </c>
      <c r="G9" s="38">
        <v>3</v>
      </c>
      <c r="H9" s="38">
        <v>4</v>
      </c>
      <c r="I9" s="38">
        <v>4</v>
      </c>
      <c r="J9" s="13" t="str">
        <f>IF(IFERROR(INDEX(Scope!$C$24:$C$41,MATCH($B9,Scope!$B$24:$B$41,0)),"Yes")="No","No",IF($D9="All","Yes",IF(IFERROR(INDEX(Scope!$C$18:$C$20,MATCH($D9,Scope!$B$18:$B$20,0)),"Yes")="No","No","Yes")))</f>
        <v>Yes</v>
      </c>
      <c r="K9" s="13"/>
      <c r="L9" s="39">
        <f>Scope!$C$13</f>
        <v>3</v>
      </c>
      <c r="M9" s="31" t="str">
        <f t="shared" si="0"/>
        <v/>
      </c>
      <c r="N9" s="20" t="str">
        <f t="shared" si="1"/>
        <v>Not assessed</v>
      </c>
      <c r="O9" s="10"/>
      <c r="P9" s="10"/>
      <c r="Q9" s="10"/>
      <c r="R9" s="13"/>
      <c r="S9" s="13"/>
      <c r="T9" s="20">
        <f t="shared" si="2"/>
        <v>4</v>
      </c>
      <c r="U9" s="20">
        <f t="shared" si="3"/>
        <v>4</v>
      </c>
      <c r="V9" s="20">
        <f t="shared" si="4"/>
        <v>16</v>
      </c>
      <c r="W9" s="20" t="str">
        <f>INDEX(Risk_Model!$B$30:$B$33,MATCH(V9,Risk_Model!$A$30:$A$33,1))</f>
        <v>High</v>
      </c>
      <c r="X9" s="34" t="str">
        <f>IF(OR(J9="No",K9=""),"",INDEX(Risk_Model!$C$38:$C$43,MATCH(K9,Risk_Model!$A$38:$A$43,0)))</f>
        <v/>
      </c>
      <c r="Y9" s="31" t="str">
        <f t="shared" si="5"/>
        <v/>
      </c>
      <c r="Z9" s="20" t="str">
        <f>IF(Y9="","",INDEX(Risk_Model!$B$30:$B$33,MATCH(Y9,Risk_Model!$A$30:$A$33,1)))</f>
        <v/>
      </c>
      <c r="AA9" s="40" t="str">
        <f t="shared" si="6"/>
        <v/>
      </c>
    </row>
    <row r="10" spans="1:27" ht="25" x14ac:dyDescent="0.35">
      <c r="A10" s="36" t="s">
        <v>201</v>
      </c>
      <c r="B10" s="37" t="s">
        <v>66</v>
      </c>
      <c r="C10" s="37" t="s">
        <v>98</v>
      </c>
      <c r="D10" s="37" t="s">
        <v>186</v>
      </c>
      <c r="E10" s="37" t="s">
        <v>202</v>
      </c>
      <c r="F10" s="37" t="s">
        <v>203</v>
      </c>
      <c r="G10" s="38">
        <v>2</v>
      </c>
      <c r="H10" s="38">
        <v>3</v>
      </c>
      <c r="I10" s="38">
        <v>3</v>
      </c>
      <c r="J10" s="13" t="str">
        <f>IF(IFERROR(INDEX(Scope!$C$24:$C$41,MATCH($B10,Scope!$B$24:$B$41,0)),"Yes")="No","No",IF($D10="All","Yes",IF(IFERROR(INDEX(Scope!$C$18:$C$20,MATCH($D10,Scope!$B$18:$B$20,0)),"Yes")="No","No","Yes")))</f>
        <v>Yes</v>
      </c>
      <c r="K10" s="13"/>
      <c r="L10" s="39">
        <f>Scope!$C$13</f>
        <v>3</v>
      </c>
      <c r="M10" s="31" t="str">
        <f t="shared" si="0"/>
        <v/>
      </c>
      <c r="N10" s="20" t="str">
        <f t="shared" si="1"/>
        <v>Not assessed</v>
      </c>
      <c r="O10" s="10"/>
      <c r="P10" s="10"/>
      <c r="Q10" s="10"/>
      <c r="R10" s="13"/>
      <c r="S10" s="13"/>
      <c r="T10" s="20">
        <f t="shared" si="2"/>
        <v>3</v>
      </c>
      <c r="U10" s="20">
        <f t="shared" si="3"/>
        <v>3</v>
      </c>
      <c r="V10" s="20">
        <f t="shared" si="4"/>
        <v>9</v>
      </c>
      <c r="W10" s="20" t="str">
        <f>INDEX(Risk_Model!$B$30:$B$33,MATCH(V10,Risk_Model!$A$30:$A$33,1))</f>
        <v>Medium</v>
      </c>
      <c r="X10" s="34" t="str">
        <f>IF(OR(J10="No",K10=""),"",INDEX(Risk_Model!$C$38:$C$43,MATCH(K10,Risk_Model!$A$38:$A$43,0)))</f>
        <v/>
      </c>
      <c r="Y10" s="31" t="str">
        <f t="shared" si="5"/>
        <v/>
      </c>
      <c r="Z10" s="20" t="str">
        <f>IF(Y10="","",INDEX(Risk_Model!$B$30:$B$33,MATCH(Y10,Risk_Model!$A$30:$A$33,1)))</f>
        <v/>
      </c>
      <c r="AA10" s="40" t="str">
        <f t="shared" si="6"/>
        <v/>
      </c>
    </row>
    <row r="11" spans="1:27" ht="37.5" x14ac:dyDescent="0.35">
      <c r="A11" s="36" t="s">
        <v>204</v>
      </c>
      <c r="B11" s="37" t="s">
        <v>66</v>
      </c>
      <c r="C11" s="37" t="s">
        <v>98</v>
      </c>
      <c r="D11" s="37" t="s">
        <v>186</v>
      </c>
      <c r="E11" s="37" t="s">
        <v>205</v>
      </c>
      <c r="F11" s="37" t="s">
        <v>206</v>
      </c>
      <c r="G11" s="38">
        <v>3</v>
      </c>
      <c r="H11" s="38">
        <v>3</v>
      </c>
      <c r="I11" s="38">
        <v>4</v>
      </c>
      <c r="J11" s="13" t="str">
        <f>IF(IFERROR(INDEX(Scope!$C$24:$C$41,MATCH($B11,Scope!$B$24:$B$41,0)),"Yes")="No","No",IF($D11="All","Yes",IF(IFERROR(INDEX(Scope!$C$18:$C$20,MATCH($D11,Scope!$B$18:$B$20,0)),"Yes")="No","No","Yes")))</f>
        <v>Yes</v>
      </c>
      <c r="K11" s="13"/>
      <c r="L11" s="39">
        <f>Scope!$C$13</f>
        <v>3</v>
      </c>
      <c r="M11" s="31" t="str">
        <f t="shared" si="0"/>
        <v/>
      </c>
      <c r="N11" s="20" t="str">
        <f t="shared" si="1"/>
        <v>Not assessed</v>
      </c>
      <c r="O11" s="10"/>
      <c r="P11" s="10"/>
      <c r="Q11" s="10"/>
      <c r="R11" s="13"/>
      <c r="S11" s="13"/>
      <c r="T11" s="20">
        <f t="shared" si="2"/>
        <v>3</v>
      </c>
      <c r="U11" s="20">
        <f t="shared" si="3"/>
        <v>4</v>
      </c>
      <c r="V11" s="20">
        <f t="shared" si="4"/>
        <v>12</v>
      </c>
      <c r="W11" s="20" t="str">
        <f>INDEX(Risk_Model!$B$30:$B$33,MATCH(V11,Risk_Model!$A$30:$A$33,1))</f>
        <v>High</v>
      </c>
      <c r="X11" s="34" t="str">
        <f>IF(OR(J11="No",K11=""),"",INDEX(Risk_Model!$C$38:$C$43,MATCH(K11,Risk_Model!$A$38:$A$43,0)))</f>
        <v/>
      </c>
      <c r="Y11" s="31" t="str">
        <f t="shared" si="5"/>
        <v/>
      </c>
      <c r="Z11" s="20" t="str">
        <f>IF(Y11="","",INDEX(Risk_Model!$B$30:$B$33,MATCH(Y11,Risk_Model!$A$30:$A$33,1)))</f>
        <v/>
      </c>
      <c r="AA11" s="40" t="str">
        <f t="shared" si="6"/>
        <v/>
      </c>
    </row>
    <row r="12" spans="1:27" ht="37.5" x14ac:dyDescent="0.35">
      <c r="A12" s="36" t="s">
        <v>207</v>
      </c>
      <c r="B12" s="37" t="s">
        <v>66</v>
      </c>
      <c r="C12" s="37" t="s">
        <v>98</v>
      </c>
      <c r="D12" s="37" t="s">
        <v>186</v>
      </c>
      <c r="E12" s="37" t="s">
        <v>208</v>
      </c>
      <c r="F12" s="37" t="s">
        <v>209</v>
      </c>
      <c r="G12" s="38">
        <v>1</v>
      </c>
      <c r="H12" s="38">
        <v>1</v>
      </c>
      <c r="I12" s="38">
        <v>2</v>
      </c>
      <c r="J12" s="13" t="str">
        <f>IF(IFERROR(INDEX(Scope!$C$24:$C$41,MATCH($B12,Scope!$B$24:$B$41,0)),"Yes")="No","No",IF($D12="All","Yes",IF(IFERROR(INDEX(Scope!$C$18:$C$20,MATCH($D12,Scope!$B$18:$B$20,0)),"Yes")="No","No","Yes")))</f>
        <v>Yes</v>
      </c>
      <c r="K12" s="13"/>
      <c r="L12" s="39">
        <f>Scope!$C$13</f>
        <v>3</v>
      </c>
      <c r="M12" s="31" t="str">
        <f t="shared" si="0"/>
        <v/>
      </c>
      <c r="N12" s="20" t="str">
        <f t="shared" si="1"/>
        <v>Not assessed</v>
      </c>
      <c r="O12" s="10"/>
      <c r="P12" s="10"/>
      <c r="Q12" s="10"/>
      <c r="R12" s="13"/>
      <c r="S12" s="13"/>
      <c r="T12" s="20">
        <f t="shared" si="2"/>
        <v>1</v>
      </c>
      <c r="U12" s="20">
        <f t="shared" si="3"/>
        <v>2</v>
      </c>
      <c r="V12" s="20">
        <f t="shared" si="4"/>
        <v>2</v>
      </c>
      <c r="W12" s="20" t="str">
        <f>INDEX(Risk_Model!$B$30:$B$33,MATCH(V12,Risk_Model!$A$30:$A$33,1))</f>
        <v>Low</v>
      </c>
      <c r="X12" s="34" t="str">
        <f>IF(OR(J12="No",K12=""),"",INDEX(Risk_Model!$C$38:$C$43,MATCH(K12,Risk_Model!$A$38:$A$43,0)))</f>
        <v/>
      </c>
      <c r="Y12" s="31" t="str">
        <f t="shared" si="5"/>
        <v/>
      </c>
      <c r="Z12" s="20" t="str">
        <f>IF(Y12="","",INDEX(Risk_Model!$B$30:$B$33,MATCH(Y12,Risk_Model!$A$30:$A$33,1)))</f>
        <v/>
      </c>
      <c r="AA12" s="40" t="str">
        <f t="shared" si="6"/>
        <v/>
      </c>
    </row>
    <row r="13" spans="1:27" ht="37.5" x14ac:dyDescent="0.35">
      <c r="A13" s="36" t="s">
        <v>210</v>
      </c>
      <c r="B13" s="37" t="s">
        <v>66</v>
      </c>
      <c r="C13" s="37" t="s">
        <v>98</v>
      </c>
      <c r="D13" s="37" t="s">
        <v>186</v>
      </c>
      <c r="E13" s="37" t="s">
        <v>211</v>
      </c>
      <c r="F13" s="37" t="s">
        <v>212</v>
      </c>
      <c r="G13" s="38">
        <v>2</v>
      </c>
      <c r="H13" s="38">
        <v>2</v>
      </c>
      <c r="I13" s="38">
        <v>4</v>
      </c>
      <c r="J13" s="13" t="str">
        <f>IF(IFERROR(INDEX(Scope!$C$24:$C$41,MATCH($B13,Scope!$B$24:$B$41,0)),"Yes")="No","No",IF($D13="All","Yes",IF(IFERROR(INDEX(Scope!$C$18:$C$20,MATCH($D13,Scope!$B$18:$B$20,0)),"Yes")="No","No","Yes")))</f>
        <v>Yes</v>
      </c>
      <c r="K13" s="13"/>
      <c r="L13" s="39">
        <f>Scope!$C$13</f>
        <v>3</v>
      </c>
      <c r="M13" s="31" t="str">
        <f t="shared" si="0"/>
        <v/>
      </c>
      <c r="N13" s="20" t="str">
        <f t="shared" si="1"/>
        <v>Not assessed</v>
      </c>
      <c r="O13" s="10"/>
      <c r="P13" s="10"/>
      <c r="Q13" s="10"/>
      <c r="R13" s="13"/>
      <c r="S13" s="13"/>
      <c r="T13" s="20">
        <f t="shared" si="2"/>
        <v>2</v>
      </c>
      <c r="U13" s="20">
        <f t="shared" si="3"/>
        <v>4</v>
      </c>
      <c r="V13" s="20">
        <f t="shared" si="4"/>
        <v>8</v>
      </c>
      <c r="W13" s="20" t="str">
        <f>INDEX(Risk_Model!$B$30:$B$33,MATCH(V13,Risk_Model!$A$30:$A$33,1))</f>
        <v>Medium</v>
      </c>
      <c r="X13" s="34" t="str">
        <f>IF(OR(J13="No",K13=""),"",INDEX(Risk_Model!$C$38:$C$43,MATCH(K13,Risk_Model!$A$38:$A$43,0)))</f>
        <v/>
      </c>
      <c r="Y13" s="31" t="str">
        <f t="shared" si="5"/>
        <v/>
      </c>
      <c r="Z13" s="20" t="str">
        <f>IF(Y13="","",INDEX(Risk_Model!$B$30:$B$33,MATCH(Y13,Risk_Model!$A$30:$A$33,1)))</f>
        <v/>
      </c>
      <c r="AA13" s="40" t="str">
        <f t="shared" si="6"/>
        <v/>
      </c>
    </row>
    <row r="14" spans="1:27" ht="37.5" x14ac:dyDescent="0.35">
      <c r="A14" s="36" t="s">
        <v>213</v>
      </c>
      <c r="B14" s="37" t="s">
        <v>66</v>
      </c>
      <c r="C14" s="37" t="s">
        <v>98</v>
      </c>
      <c r="D14" s="37" t="s">
        <v>186</v>
      </c>
      <c r="E14" s="37" t="s">
        <v>214</v>
      </c>
      <c r="F14" s="37" t="s">
        <v>215</v>
      </c>
      <c r="G14" s="38">
        <v>2</v>
      </c>
      <c r="H14" s="38">
        <v>3</v>
      </c>
      <c r="I14" s="38">
        <v>3</v>
      </c>
      <c r="J14" s="13" t="str">
        <f>IF(IFERROR(INDEX(Scope!$C$24:$C$41,MATCH($B14,Scope!$B$24:$B$41,0)),"Yes")="No","No",IF($D14="All","Yes",IF(IFERROR(INDEX(Scope!$C$18:$C$20,MATCH($D14,Scope!$B$18:$B$20,0)),"Yes")="No","No","Yes")))</f>
        <v>Yes</v>
      </c>
      <c r="K14" s="13"/>
      <c r="L14" s="39">
        <f>Scope!$C$13</f>
        <v>3</v>
      </c>
      <c r="M14" s="31" t="str">
        <f t="shared" si="0"/>
        <v/>
      </c>
      <c r="N14" s="20" t="str">
        <f t="shared" si="1"/>
        <v>Not assessed</v>
      </c>
      <c r="O14" s="10"/>
      <c r="P14" s="10"/>
      <c r="Q14" s="10"/>
      <c r="R14" s="13"/>
      <c r="S14" s="13"/>
      <c r="T14" s="20">
        <f t="shared" si="2"/>
        <v>3</v>
      </c>
      <c r="U14" s="20">
        <f t="shared" si="3"/>
        <v>3</v>
      </c>
      <c r="V14" s="20">
        <f t="shared" si="4"/>
        <v>9</v>
      </c>
      <c r="W14" s="20" t="str">
        <f>INDEX(Risk_Model!$B$30:$B$33,MATCH(V14,Risk_Model!$A$30:$A$33,1))</f>
        <v>Medium</v>
      </c>
      <c r="X14" s="34" t="str">
        <f>IF(OR(J14="No",K14=""),"",INDEX(Risk_Model!$C$38:$C$43,MATCH(K14,Risk_Model!$A$38:$A$43,0)))</f>
        <v/>
      </c>
      <c r="Y14" s="31" t="str">
        <f t="shared" si="5"/>
        <v/>
      </c>
      <c r="Z14" s="20" t="str">
        <f>IF(Y14="","",INDEX(Risk_Model!$B$30:$B$33,MATCH(Y14,Risk_Model!$A$30:$A$33,1)))</f>
        <v/>
      </c>
      <c r="AA14" s="40" t="str">
        <f t="shared" si="6"/>
        <v/>
      </c>
    </row>
    <row r="15" spans="1:27" ht="37.5" x14ac:dyDescent="0.35">
      <c r="A15" s="36" t="s">
        <v>216</v>
      </c>
      <c r="B15" s="37" t="s">
        <v>66</v>
      </c>
      <c r="C15" s="37" t="s">
        <v>98</v>
      </c>
      <c r="D15" s="37" t="s">
        <v>186</v>
      </c>
      <c r="E15" s="37" t="s">
        <v>217</v>
      </c>
      <c r="F15" s="37" t="s">
        <v>218</v>
      </c>
      <c r="G15" s="38">
        <v>2</v>
      </c>
      <c r="H15" s="38">
        <v>3</v>
      </c>
      <c r="I15" s="38">
        <v>4</v>
      </c>
      <c r="J15" s="13" t="str">
        <f>IF(IFERROR(INDEX(Scope!$C$24:$C$41,MATCH($B15,Scope!$B$24:$B$41,0)),"Yes")="No","No",IF($D15="All","Yes",IF(IFERROR(INDEX(Scope!$C$18:$C$20,MATCH($D15,Scope!$B$18:$B$20,0)),"Yes")="No","No","Yes")))</f>
        <v>Yes</v>
      </c>
      <c r="K15" s="13"/>
      <c r="L15" s="39">
        <f>Scope!$C$13</f>
        <v>3</v>
      </c>
      <c r="M15" s="31" t="str">
        <f t="shared" si="0"/>
        <v/>
      </c>
      <c r="N15" s="20" t="str">
        <f t="shared" si="1"/>
        <v>Not assessed</v>
      </c>
      <c r="O15" s="10"/>
      <c r="P15" s="10"/>
      <c r="Q15" s="10"/>
      <c r="R15" s="13"/>
      <c r="S15" s="13"/>
      <c r="T15" s="20">
        <f t="shared" si="2"/>
        <v>3</v>
      </c>
      <c r="U15" s="20">
        <f t="shared" si="3"/>
        <v>4</v>
      </c>
      <c r="V15" s="20">
        <f t="shared" si="4"/>
        <v>12</v>
      </c>
      <c r="W15" s="20" t="str">
        <f>INDEX(Risk_Model!$B$30:$B$33,MATCH(V15,Risk_Model!$A$30:$A$33,1))</f>
        <v>High</v>
      </c>
      <c r="X15" s="34" t="str">
        <f>IF(OR(J15="No",K15=""),"",INDEX(Risk_Model!$C$38:$C$43,MATCH(K15,Risk_Model!$A$38:$A$43,0)))</f>
        <v/>
      </c>
      <c r="Y15" s="31" t="str">
        <f t="shared" si="5"/>
        <v/>
      </c>
      <c r="Z15" s="20" t="str">
        <f>IF(Y15="","",INDEX(Risk_Model!$B$30:$B$33,MATCH(Y15,Risk_Model!$A$30:$A$33,1)))</f>
        <v/>
      </c>
      <c r="AA15" s="40" t="str">
        <f t="shared" si="6"/>
        <v/>
      </c>
    </row>
    <row r="16" spans="1:27" ht="37.5" x14ac:dyDescent="0.35">
      <c r="A16" s="36" t="s">
        <v>219</v>
      </c>
      <c r="B16" s="37" t="s">
        <v>66</v>
      </c>
      <c r="C16" s="37" t="s">
        <v>99</v>
      </c>
      <c r="D16" s="37" t="s">
        <v>186</v>
      </c>
      <c r="E16" s="37" t="s">
        <v>220</v>
      </c>
      <c r="F16" s="37" t="s">
        <v>221</v>
      </c>
      <c r="G16" s="38">
        <v>3</v>
      </c>
      <c r="H16" s="38">
        <v>4</v>
      </c>
      <c r="I16" s="38">
        <v>5</v>
      </c>
      <c r="J16" s="13" t="str">
        <f>IF(IFERROR(INDEX(Scope!$C$24:$C$41,MATCH($B16,Scope!$B$24:$B$41,0)),"Yes")="No","No",IF($D16="All","Yes",IF(IFERROR(INDEX(Scope!$C$18:$C$20,MATCH($D16,Scope!$B$18:$B$20,0)),"Yes")="No","No","Yes")))</f>
        <v>Yes</v>
      </c>
      <c r="K16" s="13"/>
      <c r="L16" s="39">
        <f>Scope!$C$13</f>
        <v>3</v>
      </c>
      <c r="M16" s="31" t="str">
        <f t="shared" si="0"/>
        <v/>
      </c>
      <c r="N16" s="20" t="str">
        <f t="shared" si="1"/>
        <v>Not assessed</v>
      </c>
      <c r="O16" s="10"/>
      <c r="P16" s="10"/>
      <c r="Q16" s="10"/>
      <c r="R16" s="13"/>
      <c r="S16" s="13"/>
      <c r="T16" s="20">
        <f t="shared" si="2"/>
        <v>4</v>
      </c>
      <c r="U16" s="20">
        <f t="shared" si="3"/>
        <v>5</v>
      </c>
      <c r="V16" s="20">
        <f t="shared" si="4"/>
        <v>20</v>
      </c>
      <c r="W16" s="20" t="str">
        <f>INDEX(Risk_Model!$B$30:$B$33,MATCH(V16,Risk_Model!$A$30:$A$33,1))</f>
        <v>Critical</v>
      </c>
      <c r="X16" s="34" t="str">
        <f>IF(OR(J16="No",K16=""),"",INDEX(Risk_Model!$C$38:$C$43,MATCH(K16,Risk_Model!$A$38:$A$43,0)))</f>
        <v/>
      </c>
      <c r="Y16" s="31" t="str">
        <f t="shared" si="5"/>
        <v/>
      </c>
      <c r="Z16" s="20" t="str">
        <f>IF(Y16="","",INDEX(Risk_Model!$B$30:$B$33,MATCH(Y16,Risk_Model!$A$30:$A$33,1)))</f>
        <v/>
      </c>
      <c r="AA16" s="40" t="str">
        <f t="shared" si="6"/>
        <v/>
      </c>
    </row>
    <row r="17" spans="1:27" ht="37.5" x14ac:dyDescent="0.35">
      <c r="A17" s="36" t="s">
        <v>222</v>
      </c>
      <c r="B17" s="37" t="s">
        <v>66</v>
      </c>
      <c r="C17" s="37" t="s">
        <v>99</v>
      </c>
      <c r="D17" s="37" t="s">
        <v>186</v>
      </c>
      <c r="E17" s="37" t="s">
        <v>223</v>
      </c>
      <c r="F17" s="37" t="s">
        <v>224</v>
      </c>
      <c r="G17" s="38">
        <v>3</v>
      </c>
      <c r="H17" s="38">
        <v>4</v>
      </c>
      <c r="I17" s="38">
        <v>4</v>
      </c>
      <c r="J17" s="13" t="str">
        <f>IF(IFERROR(INDEX(Scope!$C$24:$C$41,MATCH($B17,Scope!$B$24:$B$41,0)),"Yes")="No","No",IF($D17="All","Yes",IF(IFERROR(INDEX(Scope!$C$18:$C$20,MATCH($D17,Scope!$B$18:$B$20,0)),"Yes")="No","No","Yes")))</f>
        <v>Yes</v>
      </c>
      <c r="K17" s="13"/>
      <c r="L17" s="39">
        <f>Scope!$C$13</f>
        <v>3</v>
      </c>
      <c r="M17" s="31" t="str">
        <f t="shared" si="0"/>
        <v/>
      </c>
      <c r="N17" s="20" t="str">
        <f t="shared" si="1"/>
        <v>Not assessed</v>
      </c>
      <c r="O17" s="10"/>
      <c r="P17" s="10"/>
      <c r="Q17" s="10"/>
      <c r="R17" s="13"/>
      <c r="S17" s="13"/>
      <c r="T17" s="20">
        <f t="shared" si="2"/>
        <v>4</v>
      </c>
      <c r="U17" s="20">
        <f t="shared" si="3"/>
        <v>4</v>
      </c>
      <c r="V17" s="20">
        <f t="shared" si="4"/>
        <v>16</v>
      </c>
      <c r="W17" s="20" t="str">
        <f>INDEX(Risk_Model!$B$30:$B$33,MATCH(V17,Risk_Model!$A$30:$A$33,1))</f>
        <v>High</v>
      </c>
      <c r="X17" s="34" t="str">
        <f>IF(OR(J17="No",K17=""),"",INDEX(Risk_Model!$C$38:$C$43,MATCH(K17,Risk_Model!$A$38:$A$43,0)))</f>
        <v/>
      </c>
      <c r="Y17" s="31" t="str">
        <f t="shared" si="5"/>
        <v/>
      </c>
      <c r="Z17" s="20" t="str">
        <f>IF(Y17="","",INDEX(Risk_Model!$B$30:$B$33,MATCH(Y17,Risk_Model!$A$30:$A$33,1)))</f>
        <v/>
      </c>
      <c r="AA17" s="40" t="str">
        <f t="shared" si="6"/>
        <v/>
      </c>
    </row>
    <row r="18" spans="1:27" ht="50" x14ac:dyDescent="0.35">
      <c r="A18" s="36" t="s">
        <v>225</v>
      </c>
      <c r="B18" s="37" t="s">
        <v>66</v>
      </c>
      <c r="C18" s="37" t="s">
        <v>99</v>
      </c>
      <c r="D18" s="37" t="s">
        <v>186</v>
      </c>
      <c r="E18" s="37" t="s">
        <v>226</v>
      </c>
      <c r="F18" s="37" t="s">
        <v>227</v>
      </c>
      <c r="G18" s="38">
        <v>3</v>
      </c>
      <c r="H18" s="38">
        <v>4</v>
      </c>
      <c r="I18" s="38">
        <v>5</v>
      </c>
      <c r="J18" s="13" t="str">
        <f>IF(IFERROR(INDEX(Scope!$C$24:$C$41,MATCH($B18,Scope!$B$24:$B$41,0)),"Yes")="No","No",IF($D18="All","Yes",IF(IFERROR(INDEX(Scope!$C$18:$C$20,MATCH($D18,Scope!$B$18:$B$20,0)),"Yes")="No","No","Yes")))</f>
        <v>Yes</v>
      </c>
      <c r="K18" s="13"/>
      <c r="L18" s="39">
        <f>Scope!$C$13</f>
        <v>3</v>
      </c>
      <c r="M18" s="31" t="str">
        <f t="shared" si="0"/>
        <v/>
      </c>
      <c r="N18" s="20" t="str">
        <f t="shared" si="1"/>
        <v>Not assessed</v>
      </c>
      <c r="O18" s="10"/>
      <c r="P18" s="10"/>
      <c r="Q18" s="10"/>
      <c r="R18" s="13"/>
      <c r="S18" s="13"/>
      <c r="T18" s="20">
        <f t="shared" si="2"/>
        <v>4</v>
      </c>
      <c r="U18" s="20">
        <f t="shared" si="3"/>
        <v>5</v>
      </c>
      <c r="V18" s="20">
        <f t="shared" si="4"/>
        <v>20</v>
      </c>
      <c r="W18" s="20" t="str">
        <f>INDEX(Risk_Model!$B$30:$B$33,MATCH(V18,Risk_Model!$A$30:$A$33,1))</f>
        <v>Critical</v>
      </c>
      <c r="X18" s="34" t="str">
        <f>IF(OR(J18="No",K18=""),"",INDEX(Risk_Model!$C$38:$C$43,MATCH(K18,Risk_Model!$A$38:$A$43,0)))</f>
        <v/>
      </c>
      <c r="Y18" s="31" t="str">
        <f t="shared" si="5"/>
        <v/>
      </c>
      <c r="Z18" s="20" t="str">
        <f>IF(Y18="","",INDEX(Risk_Model!$B$30:$B$33,MATCH(Y18,Risk_Model!$A$30:$A$33,1)))</f>
        <v/>
      </c>
      <c r="AA18" s="40" t="str">
        <f t="shared" si="6"/>
        <v/>
      </c>
    </row>
    <row r="19" spans="1:27" ht="37.5" x14ac:dyDescent="0.35">
      <c r="A19" s="36" t="s">
        <v>228</v>
      </c>
      <c r="B19" s="37" t="s">
        <v>66</v>
      </c>
      <c r="C19" s="37" t="s">
        <v>99</v>
      </c>
      <c r="D19" s="37" t="s">
        <v>186</v>
      </c>
      <c r="E19" s="37" t="s">
        <v>229</v>
      </c>
      <c r="F19" s="37" t="s">
        <v>230</v>
      </c>
      <c r="G19" s="38">
        <v>3</v>
      </c>
      <c r="H19" s="38">
        <v>4</v>
      </c>
      <c r="I19" s="38">
        <v>5</v>
      </c>
      <c r="J19" s="13" t="str">
        <f>IF(IFERROR(INDEX(Scope!$C$24:$C$41,MATCH($B19,Scope!$B$24:$B$41,0)),"Yes")="No","No",IF($D19="All","Yes",IF(IFERROR(INDEX(Scope!$C$18:$C$20,MATCH($D19,Scope!$B$18:$B$20,0)),"Yes")="No","No","Yes")))</f>
        <v>Yes</v>
      </c>
      <c r="K19" s="13"/>
      <c r="L19" s="39">
        <f>Scope!$C$13</f>
        <v>3</v>
      </c>
      <c r="M19" s="31" t="str">
        <f t="shared" si="0"/>
        <v/>
      </c>
      <c r="N19" s="20" t="str">
        <f t="shared" si="1"/>
        <v>Not assessed</v>
      </c>
      <c r="O19" s="10"/>
      <c r="P19" s="10"/>
      <c r="Q19" s="10"/>
      <c r="R19" s="13"/>
      <c r="S19" s="13"/>
      <c r="T19" s="20">
        <f t="shared" si="2"/>
        <v>4</v>
      </c>
      <c r="U19" s="20">
        <f t="shared" si="3"/>
        <v>5</v>
      </c>
      <c r="V19" s="20">
        <f t="shared" si="4"/>
        <v>20</v>
      </c>
      <c r="W19" s="20" t="str">
        <f>INDEX(Risk_Model!$B$30:$B$33,MATCH(V19,Risk_Model!$A$30:$A$33,1))</f>
        <v>Critical</v>
      </c>
      <c r="X19" s="34" t="str">
        <f>IF(OR(J19="No",K19=""),"",INDEX(Risk_Model!$C$38:$C$43,MATCH(K19,Risk_Model!$A$38:$A$43,0)))</f>
        <v/>
      </c>
      <c r="Y19" s="31" t="str">
        <f t="shared" si="5"/>
        <v/>
      </c>
      <c r="Z19" s="20" t="str">
        <f>IF(Y19="","",INDEX(Risk_Model!$B$30:$B$33,MATCH(Y19,Risk_Model!$A$30:$A$33,1)))</f>
        <v/>
      </c>
      <c r="AA19" s="40" t="str">
        <f t="shared" si="6"/>
        <v/>
      </c>
    </row>
    <row r="20" spans="1:27" ht="25" x14ac:dyDescent="0.35">
      <c r="A20" s="36" t="s">
        <v>231</v>
      </c>
      <c r="B20" s="37" t="s">
        <v>66</v>
      </c>
      <c r="C20" s="37" t="s">
        <v>99</v>
      </c>
      <c r="D20" s="37" t="s">
        <v>186</v>
      </c>
      <c r="E20" s="37" t="s">
        <v>232</v>
      </c>
      <c r="F20" s="37" t="s">
        <v>233</v>
      </c>
      <c r="G20" s="38">
        <v>2</v>
      </c>
      <c r="H20" s="38">
        <v>3</v>
      </c>
      <c r="I20" s="38">
        <v>5</v>
      </c>
      <c r="J20" s="13" t="str">
        <f>IF(IFERROR(INDEX(Scope!$C$24:$C$41,MATCH($B20,Scope!$B$24:$B$41,0)),"Yes")="No","No",IF($D20="All","Yes",IF(IFERROR(INDEX(Scope!$C$18:$C$20,MATCH($D20,Scope!$B$18:$B$20,0)),"Yes")="No","No","Yes")))</f>
        <v>Yes</v>
      </c>
      <c r="K20" s="13"/>
      <c r="L20" s="39">
        <f>Scope!$C$13</f>
        <v>3</v>
      </c>
      <c r="M20" s="31" t="str">
        <f t="shared" si="0"/>
        <v/>
      </c>
      <c r="N20" s="20" t="str">
        <f t="shared" si="1"/>
        <v>Not assessed</v>
      </c>
      <c r="O20" s="10"/>
      <c r="P20" s="10"/>
      <c r="Q20" s="10"/>
      <c r="R20" s="13"/>
      <c r="S20" s="13"/>
      <c r="T20" s="20">
        <f t="shared" si="2"/>
        <v>3</v>
      </c>
      <c r="U20" s="20">
        <f t="shared" si="3"/>
        <v>5</v>
      </c>
      <c r="V20" s="20">
        <f t="shared" si="4"/>
        <v>15</v>
      </c>
      <c r="W20" s="20" t="str">
        <f>INDEX(Risk_Model!$B$30:$B$33,MATCH(V20,Risk_Model!$A$30:$A$33,1))</f>
        <v>High</v>
      </c>
      <c r="X20" s="34" t="str">
        <f>IF(OR(J20="No",K20=""),"",INDEX(Risk_Model!$C$38:$C$43,MATCH(K20,Risk_Model!$A$38:$A$43,0)))</f>
        <v/>
      </c>
      <c r="Y20" s="31" t="str">
        <f t="shared" si="5"/>
        <v/>
      </c>
      <c r="Z20" s="20" t="str">
        <f>IF(Y20="","",INDEX(Risk_Model!$B$30:$B$33,MATCH(Y20,Risk_Model!$A$30:$A$33,1)))</f>
        <v/>
      </c>
      <c r="AA20" s="40" t="str">
        <f t="shared" si="6"/>
        <v/>
      </c>
    </row>
    <row r="21" spans="1:27" ht="50" x14ac:dyDescent="0.35">
      <c r="A21" s="36" t="s">
        <v>234</v>
      </c>
      <c r="B21" s="37" t="s">
        <v>66</v>
      </c>
      <c r="C21" s="37" t="s">
        <v>100</v>
      </c>
      <c r="D21" s="37" t="s">
        <v>186</v>
      </c>
      <c r="E21" s="37" t="s">
        <v>235</v>
      </c>
      <c r="F21" s="37" t="s">
        <v>236</v>
      </c>
      <c r="G21" s="38">
        <v>3</v>
      </c>
      <c r="H21" s="38">
        <v>4</v>
      </c>
      <c r="I21" s="38">
        <v>4</v>
      </c>
      <c r="J21" s="13" t="str">
        <f>IF(IFERROR(INDEX(Scope!$C$24:$C$41,MATCH($B21,Scope!$B$24:$B$41,0)),"Yes")="No","No",IF($D21="All","Yes",IF(IFERROR(INDEX(Scope!$C$18:$C$20,MATCH($D21,Scope!$B$18:$B$20,0)),"Yes")="No","No","Yes")))</f>
        <v>Yes</v>
      </c>
      <c r="K21" s="13"/>
      <c r="L21" s="39">
        <f>Scope!$C$13</f>
        <v>3</v>
      </c>
      <c r="M21" s="31" t="str">
        <f t="shared" si="0"/>
        <v/>
      </c>
      <c r="N21" s="20" t="str">
        <f t="shared" si="1"/>
        <v>Not assessed</v>
      </c>
      <c r="O21" s="10"/>
      <c r="P21" s="10"/>
      <c r="Q21" s="10"/>
      <c r="R21" s="13"/>
      <c r="S21" s="13"/>
      <c r="T21" s="20">
        <f t="shared" si="2"/>
        <v>4</v>
      </c>
      <c r="U21" s="20">
        <f t="shared" si="3"/>
        <v>4</v>
      </c>
      <c r="V21" s="20">
        <f t="shared" si="4"/>
        <v>16</v>
      </c>
      <c r="W21" s="20" t="str">
        <f>INDEX(Risk_Model!$B$30:$B$33,MATCH(V21,Risk_Model!$A$30:$A$33,1))</f>
        <v>High</v>
      </c>
      <c r="X21" s="34" t="str">
        <f>IF(OR(J21="No",K21=""),"",INDEX(Risk_Model!$C$38:$C$43,MATCH(K21,Risk_Model!$A$38:$A$43,0)))</f>
        <v/>
      </c>
      <c r="Y21" s="31" t="str">
        <f t="shared" si="5"/>
        <v/>
      </c>
      <c r="Z21" s="20" t="str">
        <f>IF(Y21="","",INDEX(Risk_Model!$B$30:$B$33,MATCH(Y21,Risk_Model!$A$30:$A$33,1)))</f>
        <v/>
      </c>
      <c r="AA21" s="40" t="str">
        <f t="shared" si="6"/>
        <v/>
      </c>
    </row>
    <row r="22" spans="1:27" ht="37.5" x14ac:dyDescent="0.35">
      <c r="A22" s="36" t="s">
        <v>237</v>
      </c>
      <c r="B22" s="37" t="s">
        <v>66</v>
      </c>
      <c r="C22" s="37" t="s">
        <v>100</v>
      </c>
      <c r="D22" s="37" t="s">
        <v>186</v>
      </c>
      <c r="E22" s="37" t="s">
        <v>238</v>
      </c>
      <c r="F22" s="37" t="s">
        <v>239</v>
      </c>
      <c r="G22" s="38">
        <v>3</v>
      </c>
      <c r="H22" s="38">
        <v>4</v>
      </c>
      <c r="I22" s="38">
        <v>5</v>
      </c>
      <c r="J22" s="13" t="str">
        <f>IF(IFERROR(INDEX(Scope!$C$24:$C$41,MATCH($B22,Scope!$B$24:$B$41,0)),"Yes")="No","No",IF($D22="All","Yes",IF(IFERROR(INDEX(Scope!$C$18:$C$20,MATCH($D22,Scope!$B$18:$B$20,0)),"Yes")="No","No","Yes")))</f>
        <v>Yes</v>
      </c>
      <c r="K22" s="13"/>
      <c r="L22" s="39">
        <f>Scope!$C$13</f>
        <v>3</v>
      </c>
      <c r="M22" s="31" t="str">
        <f t="shared" si="0"/>
        <v/>
      </c>
      <c r="N22" s="20" t="str">
        <f t="shared" si="1"/>
        <v>Not assessed</v>
      </c>
      <c r="O22" s="10"/>
      <c r="P22" s="10"/>
      <c r="Q22" s="10"/>
      <c r="R22" s="13"/>
      <c r="S22" s="13"/>
      <c r="T22" s="20">
        <f t="shared" si="2"/>
        <v>4</v>
      </c>
      <c r="U22" s="20">
        <f t="shared" si="3"/>
        <v>5</v>
      </c>
      <c r="V22" s="20">
        <f t="shared" si="4"/>
        <v>20</v>
      </c>
      <c r="W22" s="20" t="str">
        <f>INDEX(Risk_Model!$B$30:$B$33,MATCH(V22,Risk_Model!$A$30:$A$33,1))</f>
        <v>Critical</v>
      </c>
      <c r="X22" s="34" t="str">
        <f>IF(OR(J22="No",K22=""),"",INDEX(Risk_Model!$C$38:$C$43,MATCH(K22,Risk_Model!$A$38:$A$43,0)))</f>
        <v/>
      </c>
      <c r="Y22" s="31" t="str">
        <f t="shared" si="5"/>
        <v/>
      </c>
      <c r="Z22" s="20" t="str">
        <f>IF(Y22="","",INDEX(Risk_Model!$B$30:$B$33,MATCH(Y22,Risk_Model!$A$30:$A$33,1)))</f>
        <v/>
      </c>
      <c r="AA22" s="40" t="str">
        <f t="shared" si="6"/>
        <v/>
      </c>
    </row>
    <row r="23" spans="1:27" ht="37.5" x14ac:dyDescent="0.35">
      <c r="A23" s="36" t="s">
        <v>240</v>
      </c>
      <c r="B23" s="37" t="s">
        <v>66</v>
      </c>
      <c r="C23" s="37" t="s">
        <v>100</v>
      </c>
      <c r="D23" s="37" t="s">
        <v>186</v>
      </c>
      <c r="E23" s="37" t="s">
        <v>241</v>
      </c>
      <c r="F23" s="37" t="s">
        <v>242</v>
      </c>
      <c r="G23" s="38">
        <v>2</v>
      </c>
      <c r="H23" s="38">
        <v>3</v>
      </c>
      <c r="I23" s="38">
        <v>3</v>
      </c>
      <c r="J23" s="13" t="str">
        <f>IF(IFERROR(INDEX(Scope!$C$24:$C$41,MATCH($B23,Scope!$B$24:$B$41,0)),"Yes")="No","No",IF($D23="All","Yes",IF(IFERROR(INDEX(Scope!$C$18:$C$20,MATCH($D23,Scope!$B$18:$B$20,0)),"Yes")="No","No","Yes")))</f>
        <v>Yes</v>
      </c>
      <c r="K23" s="13"/>
      <c r="L23" s="39">
        <f>Scope!$C$13</f>
        <v>3</v>
      </c>
      <c r="M23" s="31" t="str">
        <f t="shared" si="0"/>
        <v/>
      </c>
      <c r="N23" s="20" t="str">
        <f t="shared" si="1"/>
        <v>Not assessed</v>
      </c>
      <c r="O23" s="10"/>
      <c r="P23" s="10"/>
      <c r="Q23" s="10"/>
      <c r="R23" s="13"/>
      <c r="S23" s="13"/>
      <c r="T23" s="20">
        <f t="shared" si="2"/>
        <v>3</v>
      </c>
      <c r="U23" s="20">
        <f t="shared" si="3"/>
        <v>3</v>
      </c>
      <c r="V23" s="20">
        <f t="shared" si="4"/>
        <v>9</v>
      </c>
      <c r="W23" s="20" t="str">
        <f>INDEX(Risk_Model!$B$30:$B$33,MATCH(V23,Risk_Model!$A$30:$A$33,1))</f>
        <v>Medium</v>
      </c>
      <c r="X23" s="34" t="str">
        <f>IF(OR(J23="No",K23=""),"",INDEX(Risk_Model!$C$38:$C$43,MATCH(K23,Risk_Model!$A$38:$A$43,0)))</f>
        <v/>
      </c>
      <c r="Y23" s="31" t="str">
        <f t="shared" si="5"/>
        <v/>
      </c>
      <c r="Z23" s="20" t="str">
        <f>IF(Y23="","",INDEX(Risk_Model!$B$30:$B$33,MATCH(Y23,Risk_Model!$A$30:$A$33,1)))</f>
        <v/>
      </c>
      <c r="AA23" s="40" t="str">
        <f t="shared" si="6"/>
        <v/>
      </c>
    </row>
    <row r="24" spans="1:27" ht="37.5" x14ac:dyDescent="0.35">
      <c r="A24" s="36" t="s">
        <v>243</v>
      </c>
      <c r="B24" s="37" t="s">
        <v>66</v>
      </c>
      <c r="C24" s="37" t="s">
        <v>100</v>
      </c>
      <c r="D24" s="37" t="s">
        <v>186</v>
      </c>
      <c r="E24" s="37" t="s">
        <v>244</v>
      </c>
      <c r="F24" s="37" t="s">
        <v>245</v>
      </c>
      <c r="G24" s="38">
        <v>2</v>
      </c>
      <c r="H24" s="38">
        <v>3</v>
      </c>
      <c r="I24" s="38">
        <v>4</v>
      </c>
      <c r="J24" s="13" t="str">
        <f>IF(IFERROR(INDEX(Scope!$C$24:$C$41,MATCH($B24,Scope!$B$24:$B$41,0)),"Yes")="No","No",IF($D24="All","Yes",IF(IFERROR(INDEX(Scope!$C$18:$C$20,MATCH($D24,Scope!$B$18:$B$20,0)),"Yes")="No","No","Yes")))</f>
        <v>Yes</v>
      </c>
      <c r="K24" s="13"/>
      <c r="L24" s="39">
        <f>Scope!$C$13</f>
        <v>3</v>
      </c>
      <c r="M24" s="31" t="str">
        <f t="shared" si="0"/>
        <v/>
      </c>
      <c r="N24" s="20" t="str">
        <f t="shared" si="1"/>
        <v>Not assessed</v>
      </c>
      <c r="O24" s="10"/>
      <c r="P24" s="10"/>
      <c r="Q24" s="10"/>
      <c r="R24" s="13"/>
      <c r="S24" s="13"/>
      <c r="T24" s="20">
        <f t="shared" si="2"/>
        <v>3</v>
      </c>
      <c r="U24" s="20">
        <f t="shared" si="3"/>
        <v>4</v>
      </c>
      <c r="V24" s="20">
        <f t="shared" si="4"/>
        <v>12</v>
      </c>
      <c r="W24" s="20" t="str">
        <f>INDEX(Risk_Model!$B$30:$B$33,MATCH(V24,Risk_Model!$A$30:$A$33,1))</f>
        <v>High</v>
      </c>
      <c r="X24" s="34" t="str">
        <f>IF(OR(J24="No",K24=""),"",INDEX(Risk_Model!$C$38:$C$43,MATCH(K24,Risk_Model!$A$38:$A$43,0)))</f>
        <v/>
      </c>
      <c r="Y24" s="31" t="str">
        <f t="shared" si="5"/>
        <v/>
      </c>
      <c r="Z24" s="20" t="str">
        <f>IF(Y24="","",INDEX(Risk_Model!$B$30:$B$33,MATCH(Y24,Risk_Model!$A$30:$A$33,1)))</f>
        <v/>
      </c>
      <c r="AA24" s="40" t="str">
        <f t="shared" si="6"/>
        <v/>
      </c>
    </row>
    <row r="25" spans="1:27" ht="37.5" x14ac:dyDescent="0.35">
      <c r="A25" s="36" t="s">
        <v>246</v>
      </c>
      <c r="B25" s="37" t="s">
        <v>66</v>
      </c>
      <c r="C25" s="37" t="s">
        <v>100</v>
      </c>
      <c r="D25" s="37" t="s">
        <v>186</v>
      </c>
      <c r="E25" s="37" t="s">
        <v>247</v>
      </c>
      <c r="F25" s="37" t="s">
        <v>248</v>
      </c>
      <c r="G25" s="38">
        <v>3</v>
      </c>
      <c r="H25" s="38">
        <v>3</v>
      </c>
      <c r="I25" s="38">
        <v>4</v>
      </c>
      <c r="J25" s="13" t="str">
        <f>IF(IFERROR(INDEX(Scope!$C$24:$C$41,MATCH($B25,Scope!$B$24:$B$41,0)),"Yes")="No","No",IF($D25="All","Yes",IF(IFERROR(INDEX(Scope!$C$18:$C$20,MATCH($D25,Scope!$B$18:$B$20,0)),"Yes")="No","No","Yes")))</f>
        <v>Yes</v>
      </c>
      <c r="K25" s="13"/>
      <c r="L25" s="39">
        <f>Scope!$C$13</f>
        <v>3</v>
      </c>
      <c r="M25" s="31" t="str">
        <f t="shared" si="0"/>
        <v/>
      </c>
      <c r="N25" s="20" t="str">
        <f t="shared" si="1"/>
        <v>Not assessed</v>
      </c>
      <c r="O25" s="10"/>
      <c r="P25" s="10"/>
      <c r="Q25" s="10"/>
      <c r="R25" s="13"/>
      <c r="S25" s="13"/>
      <c r="T25" s="20">
        <f t="shared" si="2"/>
        <v>3</v>
      </c>
      <c r="U25" s="20">
        <f t="shared" si="3"/>
        <v>4</v>
      </c>
      <c r="V25" s="20">
        <f t="shared" si="4"/>
        <v>12</v>
      </c>
      <c r="W25" s="20" t="str">
        <f>INDEX(Risk_Model!$B$30:$B$33,MATCH(V25,Risk_Model!$A$30:$A$33,1))</f>
        <v>High</v>
      </c>
      <c r="X25" s="34" t="str">
        <f>IF(OR(J25="No",K25=""),"",INDEX(Risk_Model!$C$38:$C$43,MATCH(K25,Risk_Model!$A$38:$A$43,0)))</f>
        <v/>
      </c>
      <c r="Y25" s="31" t="str">
        <f t="shared" si="5"/>
        <v/>
      </c>
      <c r="Z25" s="20" t="str">
        <f>IF(Y25="","",INDEX(Risk_Model!$B$30:$B$33,MATCH(Y25,Risk_Model!$A$30:$A$33,1)))</f>
        <v/>
      </c>
      <c r="AA25" s="40" t="str">
        <f t="shared" si="6"/>
        <v/>
      </c>
    </row>
    <row r="26" spans="1:27" ht="25" x14ac:dyDescent="0.35">
      <c r="A26" s="36" t="s">
        <v>249</v>
      </c>
      <c r="B26" s="37" t="s">
        <v>66</v>
      </c>
      <c r="C26" s="37" t="s">
        <v>100</v>
      </c>
      <c r="D26" s="37" t="s">
        <v>186</v>
      </c>
      <c r="E26" s="37" t="s">
        <v>250</v>
      </c>
      <c r="F26" s="37" t="s">
        <v>251</v>
      </c>
      <c r="G26" s="38">
        <v>2</v>
      </c>
      <c r="H26" s="38">
        <v>2</v>
      </c>
      <c r="I26" s="38">
        <v>3</v>
      </c>
      <c r="J26" s="13" t="str">
        <f>IF(IFERROR(INDEX(Scope!$C$24:$C$41,MATCH($B26,Scope!$B$24:$B$41,0)),"Yes")="No","No",IF($D26="All","Yes",IF(IFERROR(INDEX(Scope!$C$18:$C$20,MATCH($D26,Scope!$B$18:$B$20,0)),"Yes")="No","No","Yes")))</f>
        <v>Yes</v>
      </c>
      <c r="K26" s="13"/>
      <c r="L26" s="39">
        <f>Scope!$C$13</f>
        <v>3</v>
      </c>
      <c r="M26" s="31" t="str">
        <f t="shared" si="0"/>
        <v/>
      </c>
      <c r="N26" s="20" t="str">
        <f t="shared" si="1"/>
        <v>Not assessed</v>
      </c>
      <c r="O26" s="10"/>
      <c r="P26" s="10"/>
      <c r="Q26" s="10"/>
      <c r="R26" s="13"/>
      <c r="S26" s="13"/>
      <c r="T26" s="20">
        <f t="shared" si="2"/>
        <v>2</v>
      </c>
      <c r="U26" s="20">
        <f t="shared" si="3"/>
        <v>3</v>
      </c>
      <c r="V26" s="20">
        <f t="shared" si="4"/>
        <v>6</v>
      </c>
      <c r="W26" s="20" t="str">
        <f>INDEX(Risk_Model!$B$30:$B$33,MATCH(V26,Risk_Model!$A$30:$A$33,1))</f>
        <v>Medium</v>
      </c>
      <c r="X26" s="34" t="str">
        <f>IF(OR(J26="No",K26=""),"",INDEX(Risk_Model!$C$38:$C$43,MATCH(K26,Risk_Model!$A$38:$A$43,0)))</f>
        <v/>
      </c>
      <c r="Y26" s="31" t="str">
        <f t="shared" si="5"/>
        <v/>
      </c>
      <c r="Z26" s="20" t="str">
        <f>IF(Y26="","",INDEX(Risk_Model!$B$30:$B$33,MATCH(Y26,Risk_Model!$A$30:$A$33,1)))</f>
        <v/>
      </c>
      <c r="AA26" s="40" t="str">
        <f t="shared" si="6"/>
        <v/>
      </c>
    </row>
    <row r="27" spans="1:27" ht="37.5" x14ac:dyDescent="0.35">
      <c r="A27" s="36" t="s">
        <v>252</v>
      </c>
      <c r="B27" s="37" t="s">
        <v>66</v>
      </c>
      <c r="C27" s="37" t="s">
        <v>101</v>
      </c>
      <c r="D27" s="37" t="s">
        <v>186</v>
      </c>
      <c r="E27" s="37" t="s">
        <v>253</v>
      </c>
      <c r="F27" s="37" t="s">
        <v>254</v>
      </c>
      <c r="G27" s="38">
        <v>3</v>
      </c>
      <c r="H27" s="38">
        <v>3</v>
      </c>
      <c r="I27" s="38">
        <v>5</v>
      </c>
      <c r="J27" s="13" t="str">
        <f>IF(IFERROR(INDEX(Scope!$C$24:$C$41,MATCH($B27,Scope!$B$24:$B$41,0)),"Yes")="No","No",IF($D27="All","Yes",IF(IFERROR(INDEX(Scope!$C$18:$C$20,MATCH($D27,Scope!$B$18:$B$20,0)),"Yes")="No","No","Yes")))</f>
        <v>Yes</v>
      </c>
      <c r="K27" s="13"/>
      <c r="L27" s="39">
        <f>Scope!$C$13</f>
        <v>3</v>
      </c>
      <c r="M27" s="31" t="str">
        <f t="shared" si="0"/>
        <v/>
      </c>
      <c r="N27" s="20" t="str">
        <f t="shared" si="1"/>
        <v>Not assessed</v>
      </c>
      <c r="O27" s="10"/>
      <c r="P27" s="10"/>
      <c r="Q27" s="10"/>
      <c r="R27" s="13"/>
      <c r="S27" s="13"/>
      <c r="T27" s="20">
        <f t="shared" si="2"/>
        <v>3</v>
      </c>
      <c r="U27" s="20">
        <f t="shared" si="3"/>
        <v>5</v>
      </c>
      <c r="V27" s="20">
        <f t="shared" si="4"/>
        <v>15</v>
      </c>
      <c r="W27" s="20" t="str">
        <f>INDEX(Risk_Model!$B$30:$B$33,MATCH(V27,Risk_Model!$A$30:$A$33,1))</f>
        <v>High</v>
      </c>
      <c r="X27" s="34" t="str">
        <f>IF(OR(J27="No",K27=""),"",INDEX(Risk_Model!$C$38:$C$43,MATCH(K27,Risk_Model!$A$38:$A$43,0)))</f>
        <v/>
      </c>
      <c r="Y27" s="31" t="str">
        <f t="shared" si="5"/>
        <v/>
      </c>
      <c r="Z27" s="20" t="str">
        <f>IF(Y27="","",INDEX(Risk_Model!$B$30:$B$33,MATCH(Y27,Risk_Model!$A$30:$A$33,1)))</f>
        <v/>
      </c>
      <c r="AA27" s="40" t="str">
        <f t="shared" si="6"/>
        <v/>
      </c>
    </row>
    <row r="28" spans="1:27" ht="37.5" x14ac:dyDescent="0.35">
      <c r="A28" s="36" t="s">
        <v>255</v>
      </c>
      <c r="B28" s="37" t="s">
        <v>66</v>
      </c>
      <c r="C28" s="37" t="s">
        <v>101</v>
      </c>
      <c r="D28" s="37" t="s">
        <v>186</v>
      </c>
      <c r="E28" s="37" t="s">
        <v>256</v>
      </c>
      <c r="F28" s="37" t="s">
        <v>257</v>
      </c>
      <c r="G28" s="38">
        <v>3</v>
      </c>
      <c r="H28" s="38">
        <v>3</v>
      </c>
      <c r="I28" s="38">
        <v>4</v>
      </c>
      <c r="J28" s="13" t="str">
        <f>IF(IFERROR(INDEX(Scope!$C$24:$C$41,MATCH($B28,Scope!$B$24:$B$41,0)),"Yes")="No","No",IF($D28="All","Yes",IF(IFERROR(INDEX(Scope!$C$18:$C$20,MATCH($D28,Scope!$B$18:$B$20,0)),"Yes")="No","No","Yes")))</f>
        <v>Yes</v>
      </c>
      <c r="K28" s="13"/>
      <c r="L28" s="39">
        <f>Scope!$C$13</f>
        <v>3</v>
      </c>
      <c r="M28" s="31" t="str">
        <f t="shared" si="0"/>
        <v/>
      </c>
      <c r="N28" s="20" t="str">
        <f t="shared" si="1"/>
        <v>Not assessed</v>
      </c>
      <c r="O28" s="10"/>
      <c r="P28" s="10"/>
      <c r="Q28" s="10"/>
      <c r="R28" s="13"/>
      <c r="S28" s="13"/>
      <c r="T28" s="20">
        <f t="shared" si="2"/>
        <v>3</v>
      </c>
      <c r="U28" s="20">
        <f t="shared" si="3"/>
        <v>4</v>
      </c>
      <c r="V28" s="20">
        <f t="shared" si="4"/>
        <v>12</v>
      </c>
      <c r="W28" s="20" t="str">
        <f>INDEX(Risk_Model!$B$30:$B$33,MATCH(V28,Risk_Model!$A$30:$A$33,1))</f>
        <v>High</v>
      </c>
      <c r="X28" s="34" t="str">
        <f>IF(OR(J28="No",K28=""),"",INDEX(Risk_Model!$C$38:$C$43,MATCH(K28,Risk_Model!$A$38:$A$43,0)))</f>
        <v/>
      </c>
      <c r="Y28" s="31" t="str">
        <f t="shared" si="5"/>
        <v/>
      </c>
      <c r="Z28" s="20" t="str">
        <f>IF(Y28="","",INDEX(Risk_Model!$B$30:$B$33,MATCH(Y28,Risk_Model!$A$30:$A$33,1)))</f>
        <v/>
      </c>
      <c r="AA28" s="40" t="str">
        <f t="shared" si="6"/>
        <v/>
      </c>
    </row>
    <row r="29" spans="1:27" ht="50" x14ac:dyDescent="0.35">
      <c r="A29" s="36" t="s">
        <v>258</v>
      </c>
      <c r="B29" s="37" t="s">
        <v>66</v>
      </c>
      <c r="C29" s="37" t="s">
        <v>101</v>
      </c>
      <c r="D29" s="37" t="s">
        <v>186</v>
      </c>
      <c r="E29" s="37" t="s">
        <v>259</v>
      </c>
      <c r="F29" s="37" t="s">
        <v>260</v>
      </c>
      <c r="G29" s="38">
        <v>2</v>
      </c>
      <c r="H29" s="38">
        <v>3</v>
      </c>
      <c r="I29" s="38">
        <v>4</v>
      </c>
      <c r="J29" s="13" t="str">
        <f>IF(IFERROR(INDEX(Scope!$C$24:$C$41,MATCH($B29,Scope!$B$24:$B$41,0)),"Yes")="No","No",IF($D29="All","Yes",IF(IFERROR(INDEX(Scope!$C$18:$C$20,MATCH($D29,Scope!$B$18:$B$20,0)),"Yes")="No","No","Yes")))</f>
        <v>Yes</v>
      </c>
      <c r="K29" s="13"/>
      <c r="L29" s="39">
        <f>Scope!$C$13</f>
        <v>3</v>
      </c>
      <c r="M29" s="31" t="str">
        <f t="shared" si="0"/>
        <v/>
      </c>
      <c r="N29" s="20" t="str">
        <f t="shared" si="1"/>
        <v>Not assessed</v>
      </c>
      <c r="O29" s="10"/>
      <c r="P29" s="10"/>
      <c r="Q29" s="10"/>
      <c r="R29" s="13"/>
      <c r="S29" s="13"/>
      <c r="T29" s="20">
        <f t="shared" si="2"/>
        <v>3</v>
      </c>
      <c r="U29" s="20">
        <f t="shared" si="3"/>
        <v>4</v>
      </c>
      <c r="V29" s="20">
        <f t="shared" si="4"/>
        <v>12</v>
      </c>
      <c r="W29" s="20" t="str">
        <f>INDEX(Risk_Model!$B$30:$B$33,MATCH(V29,Risk_Model!$A$30:$A$33,1))</f>
        <v>High</v>
      </c>
      <c r="X29" s="34" t="str">
        <f>IF(OR(J29="No",K29=""),"",INDEX(Risk_Model!$C$38:$C$43,MATCH(K29,Risk_Model!$A$38:$A$43,0)))</f>
        <v/>
      </c>
      <c r="Y29" s="31" t="str">
        <f t="shared" si="5"/>
        <v/>
      </c>
      <c r="Z29" s="20" t="str">
        <f>IF(Y29="","",INDEX(Risk_Model!$B$30:$B$33,MATCH(Y29,Risk_Model!$A$30:$A$33,1)))</f>
        <v/>
      </c>
      <c r="AA29" s="40" t="str">
        <f t="shared" si="6"/>
        <v/>
      </c>
    </row>
    <row r="30" spans="1:27" ht="37.5" x14ac:dyDescent="0.35">
      <c r="A30" s="36" t="s">
        <v>261</v>
      </c>
      <c r="B30" s="37" t="s">
        <v>66</v>
      </c>
      <c r="C30" s="37" t="s">
        <v>101</v>
      </c>
      <c r="D30" s="37" t="s">
        <v>186</v>
      </c>
      <c r="E30" s="37" t="s">
        <v>262</v>
      </c>
      <c r="F30" s="37" t="s">
        <v>263</v>
      </c>
      <c r="G30" s="38">
        <v>2</v>
      </c>
      <c r="H30" s="38">
        <v>3</v>
      </c>
      <c r="I30" s="38">
        <v>4</v>
      </c>
      <c r="J30" s="13" t="str">
        <f>IF(IFERROR(INDEX(Scope!$C$24:$C$41,MATCH($B30,Scope!$B$24:$B$41,0)),"Yes")="No","No",IF($D30="All","Yes",IF(IFERROR(INDEX(Scope!$C$18:$C$20,MATCH($D30,Scope!$B$18:$B$20,0)),"Yes")="No","No","Yes")))</f>
        <v>Yes</v>
      </c>
      <c r="K30" s="13"/>
      <c r="L30" s="39">
        <f>Scope!$C$13</f>
        <v>3</v>
      </c>
      <c r="M30" s="31" t="str">
        <f t="shared" si="0"/>
        <v/>
      </c>
      <c r="N30" s="20" t="str">
        <f t="shared" si="1"/>
        <v>Not assessed</v>
      </c>
      <c r="O30" s="10"/>
      <c r="P30" s="10"/>
      <c r="Q30" s="10"/>
      <c r="R30" s="13"/>
      <c r="S30" s="13"/>
      <c r="T30" s="20">
        <f t="shared" si="2"/>
        <v>3</v>
      </c>
      <c r="U30" s="20">
        <f t="shared" si="3"/>
        <v>4</v>
      </c>
      <c r="V30" s="20">
        <f t="shared" si="4"/>
        <v>12</v>
      </c>
      <c r="W30" s="20" t="str">
        <f>INDEX(Risk_Model!$B$30:$B$33,MATCH(V30,Risk_Model!$A$30:$A$33,1))</f>
        <v>High</v>
      </c>
      <c r="X30" s="34" t="str">
        <f>IF(OR(J30="No",K30=""),"",INDEX(Risk_Model!$C$38:$C$43,MATCH(K30,Risk_Model!$A$38:$A$43,0)))</f>
        <v/>
      </c>
      <c r="Y30" s="31" t="str">
        <f t="shared" si="5"/>
        <v/>
      </c>
      <c r="Z30" s="20" t="str">
        <f>IF(Y30="","",INDEX(Risk_Model!$B$30:$B$33,MATCH(Y30,Risk_Model!$A$30:$A$33,1)))</f>
        <v/>
      </c>
      <c r="AA30" s="40" t="str">
        <f t="shared" si="6"/>
        <v/>
      </c>
    </row>
    <row r="31" spans="1:27" ht="37.5" x14ac:dyDescent="0.35">
      <c r="A31" s="36" t="s">
        <v>264</v>
      </c>
      <c r="B31" s="37" t="s">
        <v>66</v>
      </c>
      <c r="C31" s="37" t="s">
        <v>102</v>
      </c>
      <c r="D31" s="37" t="s">
        <v>186</v>
      </c>
      <c r="E31" s="37" t="s">
        <v>265</v>
      </c>
      <c r="F31" s="37" t="s">
        <v>266</v>
      </c>
      <c r="G31" s="38">
        <v>2</v>
      </c>
      <c r="H31" s="38">
        <v>3</v>
      </c>
      <c r="I31" s="38">
        <v>4</v>
      </c>
      <c r="J31" s="13" t="str">
        <f>IF(IFERROR(INDEX(Scope!$C$24:$C$41,MATCH($B31,Scope!$B$24:$B$41,0)),"Yes")="No","No",IF($D31="All","Yes",IF(IFERROR(INDEX(Scope!$C$18:$C$20,MATCH($D31,Scope!$B$18:$B$20,0)),"Yes")="No","No","Yes")))</f>
        <v>Yes</v>
      </c>
      <c r="K31" s="13"/>
      <c r="L31" s="39">
        <f>Scope!$C$13</f>
        <v>3</v>
      </c>
      <c r="M31" s="31" t="str">
        <f t="shared" si="0"/>
        <v/>
      </c>
      <c r="N31" s="20" t="str">
        <f t="shared" si="1"/>
        <v>Not assessed</v>
      </c>
      <c r="O31" s="10"/>
      <c r="P31" s="10"/>
      <c r="Q31" s="10"/>
      <c r="R31" s="13"/>
      <c r="S31" s="13"/>
      <c r="T31" s="20">
        <f t="shared" si="2"/>
        <v>3</v>
      </c>
      <c r="U31" s="20">
        <f t="shared" si="3"/>
        <v>4</v>
      </c>
      <c r="V31" s="20">
        <f t="shared" si="4"/>
        <v>12</v>
      </c>
      <c r="W31" s="20" t="str">
        <f>INDEX(Risk_Model!$B$30:$B$33,MATCH(V31,Risk_Model!$A$30:$A$33,1))</f>
        <v>High</v>
      </c>
      <c r="X31" s="34" t="str">
        <f>IF(OR(J31="No",K31=""),"",INDEX(Risk_Model!$C$38:$C$43,MATCH(K31,Risk_Model!$A$38:$A$43,0)))</f>
        <v/>
      </c>
      <c r="Y31" s="31" t="str">
        <f t="shared" si="5"/>
        <v/>
      </c>
      <c r="Z31" s="20" t="str">
        <f>IF(Y31="","",INDEX(Risk_Model!$B$30:$B$33,MATCH(Y31,Risk_Model!$A$30:$A$33,1)))</f>
        <v/>
      </c>
      <c r="AA31" s="40" t="str">
        <f t="shared" si="6"/>
        <v/>
      </c>
    </row>
    <row r="32" spans="1:27" ht="37.5" x14ac:dyDescent="0.35">
      <c r="A32" s="36" t="s">
        <v>267</v>
      </c>
      <c r="B32" s="37" t="s">
        <v>66</v>
      </c>
      <c r="C32" s="37" t="s">
        <v>102</v>
      </c>
      <c r="D32" s="37" t="s">
        <v>186</v>
      </c>
      <c r="E32" s="37" t="s">
        <v>268</v>
      </c>
      <c r="F32" s="37" t="s">
        <v>269</v>
      </c>
      <c r="G32" s="38">
        <v>3</v>
      </c>
      <c r="H32" s="38">
        <v>4</v>
      </c>
      <c r="I32" s="38">
        <v>4</v>
      </c>
      <c r="J32" s="13" t="str">
        <f>IF(IFERROR(INDEX(Scope!$C$24:$C$41,MATCH($B32,Scope!$B$24:$B$41,0)),"Yes")="No","No",IF($D32="All","Yes",IF(IFERROR(INDEX(Scope!$C$18:$C$20,MATCH($D32,Scope!$B$18:$B$20,0)),"Yes")="No","No","Yes")))</f>
        <v>Yes</v>
      </c>
      <c r="K32" s="13"/>
      <c r="L32" s="39">
        <f>Scope!$C$13</f>
        <v>3</v>
      </c>
      <c r="M32" s="31" t="str">
        <f t="shared" si="0"/>
        <v/>
      </c>
      <c r="N32" s="20" t="str">
        <f t="shared" si="1"/>
        <v>Not assessed</v>
      </c>
      <c r="O32" s="10"/>
      <c r="P32" s="10"/>
      <c r="Q32" s="10"/>
      <c r="R32" s="13"/>
      <c r="S32" s="13"/>
      <c r="T32" s="20">
        <f t="shared" si="2"/>
        <v>4</v>
      </c>
      <c r="U32" s="20">
        <f t="shared" si="3"/>
        <v>4</v>
      </c>
      <c r="V32" s="20">
        <f t="shared" si="4"/>
        <v>16</v>
      </c>
      <c r="W32" s="20" t="str">
        <f>INDEX(Risk_Model!$B$30:$B$33,MATCH(V32,Risk_Model!$A$30:$A$33,1))</f>
        <v>High</v>
      </c>
      <c r="X32" s="34" t="str">
        <f>IF(OR(J32="No",K32=""),"",INDEX(Risk_Model!$C$38:$C$43,MATCH(K32,Risk_Model!$A$38:$A$43,0)))</f>
        <v/>
      </c>
      <c r="Y32" s="31" t="str">
        <f t="shared" si="5"/>
        <v/>
      </c>
      <c r="Z32" s="20" t="str">
        <f>IF(Y32="","",INDEX(Risk_Model!$B$30:$B$33,MATCH(Y32,Risk_Model!$A$30:$A$33,1)))</f>
        <v/>
      </c>
      <c r="AA32" s="40" t="str">
        <f t="shared" si="6"/>
        <v/>
      </c>
    </row>
    <row r="33" spans="1:27" ht="37.5" x14ac:dyDescent="0.35">
      <c r="A33" s="36" t="s">
        <v>270</v>
      </c>
      <c r="B33" s="37" t="s">
        <v>66</v>
      </c>
      <c r="C33" s="37" t="s">
        <v>102</v>
      </c>
      <c r="D33" s="37" t="s">
        <v>186</v>
      </c>
      <c r="E33" s="37" t="s">
        <v>271</v>
      </c>
      <c r="F33" s="37" t="s">
        <v>272</v>
      </c>
      <c r="G33" s="38">
        <v>1</v>
      </c>
      <c r="H33" s="38">
        <v>2</v>
      </c>
      <c r="I33" s="38">
        <v>3</v>
      </c>
      <c r="J33" s="13" t="str">
        <f>IF(IFERROR(INDEX(Scope!$C$24:$C$41,MATCH($B33,Scope!$B$24:$B$41,0)),"Yes")="No","No",IF($D33="All","Yes",IF(IFERROR(INDEX(Scope!$C$18:$C$20,MATCH($D33,Scope!$B$18:$B$20,0)),"Yes")="No","No","Yes")))</f>
        <v>Yes</v>
      </c>
      <c r="K33" s="13"/>
      <c r="L33" s="39">
        <f>Scope!$C$13</f>
        <v>3</v>
      </c>
      <c r="M33" s="31" t="str">
        <f t="shared" si="0"/>
        <v/>
      </c>
      <c r="N33" s="20" t="str">
        <f t="shared" si="1"/>
        <v>Not assessed</v>
      </c>
      <c r="O33" s="10"/>
      <c r="P33" s="10"/>
      <c r="Q33" s="10"/>
      <c r="R33" s="13"/>
      <c r="S33" s="13"/>
      <c r="T33" s="20">
        <f t="shared" si="2"/>
        <v>2</v>
      </c>
      <c r="U33" s="20">
        <f t="shared" si="3"/>
        <v>3</v>
      </c>
      <c r="V33" s="20">
        <f t="shared" si="4"/>
        <v>6</v>
      </c>
      <c r="W33" s="20" t="str">
        <f>INDEX(Risk_Model!$B$30:$B$33,MATCH(V33,Risk_Model!$A$30:$A$33,1))</f>
        <v>Medium</v>
      </c>
      <c r="X33" s="34" t="str">
        <f>IF(OR(J33="No",K33=""),"",INDEX(Risk_Model!$C$38:$C$43,MATCH(K33,Risk_Model!$A$38:$A$43,0)))</f>
        <v/>
      </c>
      <c r="Y33" s="31" t="str">
        <f t="shared" si="5"/>
        <v/>
      </c>
      <c r="Z33" s="20" t="str">
        <f>IF(Y33="","",INDEX(Risk_Model!$B$30:$B$33,MATCH(Y33,Risk_Model!$A$30:$A$33,1)))</f>
        <v/>
      </c>
      <c r="AA33" s="40" t="str">
        <f t="shared" si="6"/>
        <v/>
      </c>
    </row>
    <row r="34" spans="1:27" ht="50" x14ac:dyDescent="0.35">
      <c r="A34" s="36" t="s">
        <v>273</v>
      </c>
      <c r="B34" s="37" t="s">
        <v>66</v>
      </c>
      <c r="C34" s="37" t="s">
        <v>102</v>
      </c>
      <c r="D34" s="37" t="s">
        <v>186</v>
      </c>
      <c r="E34" s="37" t="s">
        <v>274</v>
      </c>
      <c r="F34" s="37" t="s">
        <v>275</v>
      </c>
      <c r="G34" s="38">
        <v>3</v>
      </c>
      <c r="H34" s="38">
        <v>4</v>
      </c>
      <c r="I34" s="38">
        <v>4</v>
      </c>
      <c r="J34" s="13" t="str">
        <f>IF(IFERROR(INDEX(Scope!$C$24:$C$41,MATCH($B34,Scope!$B$24:$B$41,0)),"Yes")="No","No",IF($D34="All","Yes",IF(IFERROR(INDEX(Scope!$C$18:$C$20,MATCH($D34,Scope!$B$18:$B$20,0)),"Yes")="No","No","Yes")))</f>
        <v>Yes</v>
      </c>
      <c r="K34" s="13"/>
      <c r="L34" s="39">
        <f>Scope!$C$13</f>
        <v>3</v>
      </c>
      <c r="M34" s="31" t="str">
        <f t="shared" si="0"/>
        <v/>
      </c>
      <c r="N34" s="20" t="str">
        <f t="shared" si="1"/>
        <v>Not assessed</v>
      </c>
      <c r="O34" s="10"/>
      <c r="P34" s="10"/>
      <c r="Q34" s="10"/>
      <c r="R34" s="13"/>
      <c r="S34" s="13"/>
      <c r="T34" s="20">
        <f t="shared" si="2"/>
        <v>4</v>
      </c>
      <c r="U34" s="20">
        <f t="shared" si="3"/>
        <v>4</v>
      </c>
      <c r="V34" s="20">
        <f t="shared" si="4"/>
        <v>16</v>
      </c>
      <c r="W34" s="20" t="str">
        <f>INDEX(Risk_Model!$B$30:$B$33,MATCH(V34,Risk_Model!$A$30:$A$33,1))</f>
        <v>High</v>
      </c>
      <c r="X34" s="34" t="str">
        <f>IF(OR(J34="No",K34=""),"",INDEX(Risk_Model!$C$38:$C$43,MATCH(K34,Risk_Model!$A$38:$A$43,0)))</f>
        <v/>
      </c>
      <c r="Y34" s="31" t="str">
        <f t="shared" si="5"/>
        <v/>
      </c>
      <c r="Z34" s="20" t="str">
        <f>IF(Y34="","",INDEX(Risk_Model!$B$30:$B$33,MATCH(Y34,Risk_Model!$A$30:$A$33,1)))</f>
        <v/>
      </c>
      <c r="AA34" s="40" t="str">
        <f t="shared" si="6"/>
        <v/>
      </c>
    </row>
    <row r="35" spans="1:27" ht="62.5" x14ac:dyDescent="0.35">
      <c r="A35" s="36" t="s">
        <v>276</v>
      </c>
      <c r="B35" s="37" t="s">
        <v>66</v>
      </c>
      <c r="C35" s="37" t="s">
        <v>103</v>
      </c>
      <c r="D35" s="37" t="s">
        <v>186</v>
      </c>
      <c r="E35" s="37" t="s">
        <v>277</v>
      </c>
      <c r="F35" s="37" t="s">
        <v>278</v>
      </c>
      <c r="G35" s="38">
        <v>3</v>
      </c>
      <c r="H35" s="38">
        <v>3</v>
      </c>
      <c r="I35" s="38">
        <v>5</v>
      </c>
      <c r="J35" s="13" t="str">
        <f>IF(IFERROR(INDEX(Scope!$C$24:$C$41,MATCH($B35,Scope!$B$24:$B$41,0)),"Yes")="No","No",IF($D35="All","Yes",IF(IFERROR(INDEX(Scope!$C$18:$C$20,MATCH($D35,Scope!$B$18:$B$20,0)),"Yes")="No","No","Yes")))</f>
        <v>Yes</v>
      </c>
      <c r="K35" s="13"/>
      <c r="L35" s="39">
        <f>Scope!$C$13</f>
        <v>3</v>
      </c>
      <c r="M35" s="31" t="str">
        <f t="shared" si="0"/>
        <v/>
      </c>
      <c r="N35" s="20" t="str">
        <f t="shared" si="1"/>
        <v>Not assessed</v>
      </c>
      <c r="O35" s="10"/>
      <c r="P35" s="10"/>
      <c r="Q35" s="10"/>
      <c r="R35" s="13"/>
      <c r="S35" s="13"/>
      <c r="T35" s="20">
        <f t="shared" si="2"/>
        <v>3</v>
      </c>
      <c r="U35" s="20">
        <f t="shared" si="3"/>
        <v>5</v>
      </c>
      <c r="V35" s="20">
        <f t="shared" si="4"/>
        <v>15</v>
      </c>
      <c r="W35" s="20" t="str">
        <f>INDEX(Risk_Model!$B$30:$B$33,MATCH(V35,Risk_Model!$A$30:$A$33,1))</f>
        <v>High</v>
      </c>
      <c r="X35" s="34" t="str">
        <f>IF(OR(J35="No",K35=""),"",INDEX(Risk_Model!$C$38:$C$43,MATCH(K35,Risk_Model!$A$38:$A$43,0)))</f>
        <v/>
      </c>
      <c r="Y35" s="31" t="str">
        <f t="shared" si="5"/>
        <v/>
      </c>
      <c r="Z35" s="20" t="str">
        <f>IF(Y35="","",INDEX(Risk_Model!$B$30:$B$33,MATCH(Y35,Risk_Model!$A$30:$A$33,1)))</f>
        <v/>
      </c>
      <c r="AA35" s="40" t="str">
        <f t="shared" si="6"/>
        <v/>
      </c>
    </row>
    <row r="36" spans="1:27" ht="50" x14ac:dyDescent="0.35">
      <c r="A36" s="36" t="s">
        <v>279</v>
      </c>
      <c r="B36" s="37" t="s">
        <v>66</v>
      </c>
      <c r="C36" s="37" t="s">
        <v>104</v>
      </c>
      <c r="D36" s="37" t="s">
        <v>186</v>
      </c>
      <c r="E36" s="37" t="s">
        <v>280</v>
      </c>
      <c r="F36" s="37" t="s">
        <v>281</v>
      </c>
      <c r="G36" s="38">
        <v>3</v>
      </c>
      <c r="H36" s="38">
        <v>3</v>
      </c>
      <c r="I36" s="38">
        <v>5</v>
      </c>
      <c r="J36" s="13" t="str">
        <f>IF(IFERROR(INDEX(Scope!$C$24:$C$41,MATCH($B36,Scope!$B$24:$B$41,0)),"Yes")="No","No",IF($D36="All","Yes",IF(IFERROR(INDEX(Scope!$C$18:$C$20,MATCH($D36,Scope!$B$18:$B$20,0)),"Yes")="No","No","Yes")))</f>
        <v>Yes</v>
      </c>
      <c r="K36" s="13"/>
      <c r="L36" s="39">
        <f>Scope!$C$13</f>
        <v>3</v>
      </c>
      <c r="M36" s="31" t="str">
        <f t="shared" si="0"/>
        <v/>
      </c>
      <c r="N36" s="20" t="str">
        <f t="shared" si="1"/>
        <v>Not assessed</v>
      </c>
      <c r="O36" s="10"/>
      <c r="P36" s="10"/>
      <c r="Q36" s="10"/>
      <c r="R36" s="13"/>
      <c r="S36" s="13"/>
      <c r="T36" s="20">
        <f t="shared" si="2"/>
        <v>3</v>
      </c>
      <c r="U36" s="20">
        <f t="shared" si="3"/>
        <v>5</v>
      </c>
      <c r="V36" s="20">
        <f t="shared" si="4"/>
        <v>15</v>
      </c>
      <c r="W36" s="20" t="str">
        <f>INDEX(Risk_Model!$B$30:$B$33,MATCH(V36,Risk_Model!$A$30:$A$33,1))</f>
        <v>High</v>
      </c>
      <c r="X36" s="34" t="str">
        <f>IF(OR(J36="No",K36=""),"",INDEX(Risk_Model!$C$38:$C$43,MATCH(K36,Risk_Model!$A$38:$A$43,0)))</f>
        <v/>
      </c>
      <c r="Y36" s="31" t="str">
        <f t="shared" si="5"/>
        <v/>
      </c>
      <c r="Z36" s="20" t="str">
        <f>IF(Y36="","",INDEX(Risk_Model!$B$30:$B$33,MATCH(Y36,Risk_Model!$A$30:$A$33,1)))</f>
        <v/>
      </c>
      <c r="AA36" s="40" t="str">
        <f t="shared" si="6"/>
        <v/>
      </c>
    </row>
    <row r="37" spans="1:27" ht="37.5" x14ac:dyDescent="0.35">
      <c r="A37" s="36" t="s">
        <v>282</v>
      </c>
      <c r="B37" s="37" t="s">
        <v>66</v>
      </c>
      <c r="C37" s="37" t="s">
        <v>104</v>
      </c>
      <c r="D37" s="37" t="s">
        <v>186</v>
      </c>
      <c r="E37" s="37" t="s">
        <v>283</v>
      </c>
      <c r="F37" s="37" t="s">
        <v>284</v>
      </c>
      <c r="G37" s="38">
        <v>3</v>
      </c>
      <c r="H37" s="38">
        <v>4</v>
      </c>
      <c r="I37" s="38">
        <v>5</v>
      </c>
      <c r="J37" s="13" t="str">
        <f>IF(IFERROR(INDEX(Scope!$C$24:$C$41,MATCH($B37,Scope!$B$24:$B$41,0)),"Yes")="No","No",IF($D37="All","Yes",IF(IFERROR(INDEX(Scope!$C$18:$C$20,MATCH($D37,Scope!$B$18:$B$20,0)),"Yes")="No","No","Yes")))</f>
        <v>Yes</v>
      </c>
      <c r="K37" s="13"/>
      <c r="L37" s="39">
        <f>Scope!$C$13</f>
        <v>3</v>
      </c>
      <c r="M37" s="31" t="str">
        <f t="shared" ref="M37:M68" si="7">IF(AND(J37="Yes",K37&lt;&gt;""),MAX(0,L37-K37),"")</f>
        <v/>
      </c>
      <c r="N37" s="20" t="str">
        <f t="shared" ref="N37:N64" si="8">IF(J37="No","N/A",IF(K37="","Not assessed",IF(K37&gt;=L37,"Meets target","Gap")))</f>
        <v>Not assessed</v>
      </c>
      <c r="O37" s="10"/>
      <c r="P37" s="10"/>
      <c r="Q37" s="10"/>
      <c r="R37" s="13"/>
      <c r="S37" s="13"/>
      <c r="T37" s="20">
        <f t="shared" ref="T37:T64" si="9">IF(R37&lt;&gt;"",R37,H37)</f>
        <v>4</v>
      </c>
      <c r="U37" s="20">
        <f t="shared" ref="U37:U64" si="10">IF(S37&lt;&gt;"",S37,I37)</f>
        <v>5</v>
      </c>
      <c r="V37" s="20">
        <f t="shared" ref="V37:V68" si="11">T37*U37</f>
        <v>20</v>
      </c>
      <c r="W37" s="20" t="str">
        <f>INDEX(Risk_Model!$B$30:$B$33,MATCH(V37,Risk_Model!$A$30:$A$33,1))</f>
        <v>Critical</v>
      </c>
      <c r="X37" s="34" t="str">
        <f>IF(OR(J37="No",K37=""),"",INDEX(Risk_Model!$C$38:$C$43,MATCH(K37,Risk_Model!$A$38:$A$43,0)))</f>
        <v/>
      </c>
      <c r="Y37" s="31" t="str">
        <f t="shared" ref="Y37:Y68" si="12">IF(X37="","",ROUND(V37*(1-X37),1))</f>
        <v/>
      </c>
      <c r="Z37" s="20" t="str">
        <f>IF(Y37="","",INDEX(Risk_Model!$B$30:$B$33,MATCH(Y37,Risk_Model!$A$30:$A$33,1)))</f>
        <v/>
      </c>
      <c r="AA37" s="40" t="str">
        <f t="shared" ref="AA37:AA64" si="13">IF(Y37="","",Y37+ROW()/1000000)</f>
        <v/>
      </c>
    </row>
    <row r="38" spans="1:27" ht="37.5" x14ac:dyDescent="0.35">
      <c r="A38" s="36" t="s">
        <v>285</v>
      </c>
      <c r="B38" s="37" t="s">
        <v>66</v>
      </c>
      <c r="C38" s="37" t="s">
        <v>104</v>
      </c>
      <c r="D38" s="37" t="s">
        <v>186</v>
      </c>
      <c r="E38" s="37" t="s">
        <v>286</v>
      </c>
      <c r="F38" s="37" t="s">
        <v>287</v>
      </c>
      <c r="G38" s="38">
        <v>3</v>
      </c>
      <c r="H38" s="38">
        <v>4</v>
      </c>
      <c r="I38" s="38">
        <v>4</v>
      </c>
      <c r="J38" s="13" t="str">
        <f>IF(IFERROR(INDEX(Scope!$C$24:$C$41,MATCH($B38,Scope!$B$24:$B$41,0)),"Yes")="No","No",IF($D38="All","Yes",IF(IFERROR(INDEX(Scope!$C$18:$C$20,MATCH($D38,Scope!$B$18:$B$20,0)),"Yes")="No","No","Yes")))</f>
        <v>Yes</v>
      </c>
      <c r="K38" s="13"/>
      <c r="L38" s="39">
        <f>Scope!$C$13</f>
        <v>3</v>
      </c>
      <c r="M38" s="31" t="str">
        <f t="shared" si="7"/>
        <v/>
      </c>
      <c r="N38" s="20" t="str">
        <f t="shared" si="8"/>
        <v>Not assessed</v>
      </c>
      <c r="O38" s="10"/>
      <c r="P38" s="10"/>
      <c r="Q38" s="10"/>
      <c r="R38" s="13"/>
      <c r="S38" s="13"/>
      <c r="T38" s="20">
        <f t="shared" si="9"/>
        <v>4</v>
      </c>
      <c r="U38" s="20">
        <f t="shared" si="10"/>
        <v>4</v>
      </c>
      <c r="V38" s="20">
        <f t="shared" si="11"/>
        <v>16</v>
      </c>
      <c r="W38" s="20" t="str">
        <f>INDEX(Risk_Model!$B$30:$B$33,MATCH(V38,Risk_Model!$A$30:$A$33,1))</f>
        <v>High</v>
      </c>
      <c r="X38" s="34" t="str">
        <f>IF(OR(J38="No",K38=""),"",INDEX(Risk_Model!$C$38:$C$43,MATCH(K38,Risk_Model!$A$38:$A$43,0)))</f>
        <v/>
      </c>
      <c r="Y38" s="31" t="str">
        <f t="shared" si="12"/>
        <v/>
      </c>
      <c r="Z38" s="20" t="str">
        <f>IF(Y38="","",INDEX(Risk_Model!$B$30:$B$33,MATCH(Y38,Risk_Model!$A$30:$A$33,1)))</f>
        <v/>
      </c>
      <c r="AA38" s="40" t="str">
        <f t="shared" si="13"/>
        <v/>
      </c>
    </row>
    <row r="39" spans="1:27" ht="37.5" x14ac:dyDescent="0.35">
      <c r="A39" s="36" t="s">
        <v>288</v>
      </c>
      <c r="B39" s="37" t="s">
        <v>66</v>
      </c>
      <c r="C39" s="37" t="s">
        <v>104</v>
      </c>
      <c r="D39" s="37" t="s">
        <v>186</v>
      </c>
      <c r="E39" s="37" t="s">
        <v>289</v>
      </c>
      <c r="F39" s="37" t="s">
        <v>290</v>
      </c>
      <c r="G39" s="38">
        <v>2</v>
      </c>
      <c r="H39" s="38">
        <v>3</v>
      </c>
      <c r="I39" s="38">
        <v>4</v>
      </c>
      <c r="J39" s="13" t="str">
        <f>IF(IFERROR(INDEX(Scope!$C$24:$C$41,MATCH($B39,Scope!$B$24:$B$41,0)),"Yes")="No","No",IF($D39="All","Yes",IF(IFERROR(INDEX(Scope!$C$18:$C$20,MATCH($D39,Scope!$B$18:$B$20,0)),"Yes")="No","No","Yes")))</f>
        <v>Yes</v>
      </c>
      <c r="K39" s="13"/>
      <c r="L39" s="39">
        <f>Scope!$C$13</f>
        <v>3</v>
      </c>
      <c r="M39" s="31" t="str">
        <f t="shared" si="7"/>
        <v/>
      </c>
      <c r="N39" s="20" t="str">
        <f t="shared" si="8"/>
        <v>Not assessed</v>
      </c>
      <c r="O39" s="10"/>
      <c r="P39" s="10"/>
      <c r="Q39" s="10"/>
      <c r="R39" s="13"/>
      <c r="S39" s="13"/>
      <c r="T39" s="20">
        <f t="shared" si="9"/>
        <v>3</v>
      </c>
      <c r="U39" s="20">
        <f t="shared" si="10"/>
        <v>4</v>
      </c>
      <c r="V39" s="20">
        <f t="shared" si="11"/>
        <v>12</v>
      </c>
      <c r="W39" s="20" t="str">
        <f>INDEX(Risk_Model!$B$30:$B$33,MATCH(V39,Risk_Model!$A$30:$A$33,1))</f>
        <v>High</v>
      </c>
      <c r="X39" s="34" t="str">
        <f>IF(OR(J39="No",K39=""),"",INDEX(Risk_Model!$C$38:$C$43,MATCH(K39,Risk_Model!$A$38:$A$43,0)))</f>
        <v/>
      </c>
      <c r="Y39" s="31" t="str">
        <f t="shared" si="12"/>
        <v/>
      </c>
      <c r="Z39" s="20" t="str">
        <f>IF(Y39="","",INDEX(Risk_Model!$B$30:$B$33,MATCH(Y39,Risk_Model!$A$30:$A$33,1)))</f>
        <v/>
      </c>
      <c r="AA39" s="40" t="str">
        <f t="shared" si="13"/>
        <v/>
      </c>
    </row>
    <row r="40" spans="1:27" ht="37.5" x14ac:dyDescent="0.35">
      <c r="A40" s="36" t="s">
        <v>291</v>
      </c>
      <c r="B40" s="37" t="s">
        <v>66</v>
      </c>
      <c r="C40" s="37" t="s">
        <v>104</v>
      </c>
      <c r="D40" s="37" t="s">
        <v>186</v>
      </c>
      <c r="E40" s="37" t="s">
        <v>292</v>
      </c>
      <c r="F40" s="37" t="s">
        <v>293</v>
      </c>
      <c r="G40" s="38">
        <v>2</v>
      </c>
      <c r="H40" s="38">
        <v>3</v>
      </c>
      <c r="I40" s="38">
        <v>4</v>
      </c>
      <c r="J40" s="13" t="str">
        <f>IF(IFERROR(INDEX(Scope!$C$24:$C$41,MATCH($B40,Scope!$B$24:$B$41,0)),"Yes")="No","No",IF($D40="All","Yes",IF(IFERROR(INDEX(Scope!$C$18:$C$20,MATCH($D40,Scope!$B$18:$B$20,0)),"Yes")="No","No","Yes")))</f>
        <v>Yes</v>
      </c>
      <c r="K40" s="13"/>
      <c r="L40" s="39">
        <f>Scope!$C$13</f>
        <v>3</v>
      </c>
      <c r="M40" s="31" t="str">
        <f t="shared" si="7"/>
        <v/>
      </c>
      <c r="N40" s="20" t="str">
        <f t="shared" si="8"/>
        <v>Not assessed</v>
      </c>
      <c r="O40" s="10"/>
      <c r="P40" s="10"/>
      <c r="Q40" s="10"/>
      <c r="R40" s="13"/>
      <c r="S40" s="13"/>
      <c r="T40" s="20">
        <f t="shared" si="9"/>
        <v>3</v>
      </c>
      <c r="U40" s="20">
        <f t="shared" si="10"/>
        <v>4</v>
      </c>
      <c r="V40" s="20">
        <f t="shared" si="11"/>
        <v>12</v>
      </c>
      <c r="W40" s="20" t="str">
        <f>INDEX(Risk_Model!$B$30:$B$33,MATCH(V40,Risk_Model!$A$30:$A$33,1))</f>
        <v>High</v>
      </c>
      <c r="X40" s="34" t="str">
        <f>IF(OR(J40="No",K40=""),"",INDEX(Risk_Model!$C$38:$C$43,MATCH(K40,Risk_Model!$A$38:$A$43,0)))</f>
        <v/>
      </c>
      <c r="Y40" s="31" t="str">
        <f t="shared" si="12"/>
        <v/>
      </c>
      <c r="Z40" s="20" t="str">
        <f>IF(Y40="","",INDEX(Risk_Model!$B$30:$B$33,MATCH(Y40,Risk_Model!$A$30:$A$33,1)))</f>
        <v/>
      </c>
      <c r="AA40" s="40" t="str">
        <f t="shared" si="13"/>
        <v/>
      </c>
    </row>
    <row r="41" spans="1:27" ht="37.5" x14ac:dyDescent="0.35">
      <c r="A41" s="36" t="s">
        <v>294</v>
      </c>
      <c r="B41" s="37" t="s">
        <v>66</v>
      </c>
      <c r="C41" s="37" t="s">
        <v>104</v>
      </c>
      <c r="D41" s="37" t="s">
        <v>186</v>
      </c>
      <c r="E41" s="37" t="s">
        <v>295</v>
      </c>
      <c r="F41" s="37" t="s">
        <v>296</v>
      </c>
      <c r="G41" s="38">
        <v>2</v>
      </c>
      <c r="H41" s="38">
        <v>3</v>
      </c>
      <c r="I41" s="38">
        <v>5</v>
      </c>
      <c r="J41" s="13" t="str">
        <f>IF(IFERROR(INDEX(Scope!$C$24:$C$41,MATCH($B41,Scope!$B$24:$B$41,0)),"Yes")="No","No",IF($D41="All","Yes",IF(IFERROR(INDEX(Scope!$C$18:$C$20,MATCH($D41,Scope!$B$18:$B$20,0)),"Yes")="No","No","Yes")))</f>
        <v>Yes</v>
      </c>
      <c r="K41" s="13"/>
      <c r="L41" s="39">
        <f>Scope!$C$13</f>
        <v>3</v>
      </c>
      <c r="M41" s="31" t="str">
        <f t="shared" si="7"/>
        <v/>
      </c>
      <c r="N41" s="20" t="str">
        <f t="shared" si="8"/>
        <v>Not assessed</v>
      </c>
      <c r="O41" s="10"/>
      <c r="P41" s="10"/>
      <c r="Q41" s="10"/>
      <c r="R41" s="13"/>
      <c r="S41" s="13"/>
      <c r="T41" s="20">
        <f t="shared" si="9"/>
        <v>3</v>
      </c>
      <c r="U41" s="20">
        <f t="shared" si="10"/>
        <v>5</v>
      </c>
      <c r="V41" s="20">
        <f t="shared" si="11"/>
        <v>15</v>
      </c>
      <c r="W41" s="20" t="str">
        <f>INDEX(Risk_Model!$B$30:$B$33,MATCH(V41,Risk_Model!$A$30:$A$33,1))</f>
        <v>High</v>
      </c>
      <c r="X41" s="34" t="str">
        <f>IF(OR(J41="No",K41=""),"",INDEX(Risk_Model!$C$38:$C$43,MATCH(K41,Risk_Model!$A$38:$A$43,0)))</f>
        <v/>
      </c>
      <c r="Y41" s="31" t="str">
        <f t="shared" si="12"/>
        <v/>
      </c>
      <c r="Z41" s="20" t="str">
        <f>IF(Y41="","",INDEX(Risk_Model!$B$30:$B$33,MATCH(Y41,Risk_Model!$A$30:$A$33,1)))</f>
        <v/>
      </c>
      <c r="AA41" s="40" t="str">
        <f t="shared" si="13"/>
        <v/>
      </c>
    </row>
    <row r="42" spans="1:27" ht="37.5" x14ac:dyDescent="0.35">
      <c r="A42" s="36" t="s">
        <v>297</v>
      </c>
      <c r="B42" s="37" t="s">
        <v>66</v>
      </c>
      <c r="C42" s="37" t="s">
        <v>104</v>
      </c>
      <c r="D42" s="37" t="s">
        <v>186</v>
      </c>
      <c r="E42" s="37" t="s">
        <v>298</v>
      </c>
      <c r="F42" s="37" t="s">
        <v>299</v>
      </c>
      <c r="G42" s="38">
        <v>3</v>
      </c>
      <c r="H42" s="38">
        <v>4</v>
      </c>
      <c r="I42" s="38">
        <v>5</v>
      </c>
      <c r="J42" s="13" t="str">
        <f>IF(IFERROR(INDEX(Scope!$C$24:$C$41,MATCH($B42,Scope!$B$24:$B$41,0)),"Yes")="No","No",IF($D42="All","Yes",IF(IFERROR(INDEX(Scope!$C$18:$C$20,MATCH($D42,Scope!$B$18:$B$20,0)),"Yes")="No","No","Yes")))</f>
        <v>Yes</v>
      </c>
      <c r="K42" s="13"/>
      <c r="L42" s="39">
        <f>Scope!$C$13</f>
        <v>3</v>
      </c>
      <c r="M42" s="31" t="str">
        <f t="shared" si="7"/>
        <v/>
      </c>
      <c r="N42" s="20" t="str">
        <f t="shared" si="8"/>
        <v>Not assessed</v>
      </c>
      <c r="O42" s="10"/>
      <c r="P42" s="10"/>
      <c r="Q42" s="10"/>
      <c r="R42" s="13"/>
      <c r="S42" s="13"/>
      <c r="T42" s="20">
        <f t="shared" si="9"/>
        <v>4</v>
      </c>
      <c r="U42" s="20">
        <f t="shared" si="10"/>
        <v>5</v>
      </c>
      <c r="V42" s="20">
        <f t="shared" si="11"/>
        <v>20</v>
      </c>
      <c r="W42" s="20" t="str">
        <f>INDEX(Risk_Model!$B$30:$B$33,MATCH(V42,Risk_Model!$A$30:$A$33,1))</f>
        <v>Critical</v>
      </c>
      <c r="X42" s="34" t="str">
        <f>IF(OR(J42="No",K42=""),"",INDEX(Risk_Model!$C$38:$C$43,MATCH(K42,Risk_Model!$A$38:$A$43,0)))</f>
        <v/>
      </c>
      <c r="Y42" s="31" t="str">
        <f t="shared" si="12"/>
        <v/>
      </c>
      <c r="Z42" s="20" t="str">
        <f>IF(Y42="","",INDEX(Risk_Model!$B$30:$B$33,MATCH(Y42,Risk_Model!$A$30:$A$33,1)))</f>
        <v/>
      </c>
      <c r="AA42" s="40" t="str">
        <f t="shared" si="13"/>
        <v/>
      </c>
    </row>
    <row r="43" spans="1:27" ht="37.5" x14ac:dyDescent="0.35">
      <c r="A43" s="36" t="s">
        <v>300</v>
      </c>
      <c r="B43" s="37" t="s">
        <v>66</v>
      </c>
      <c r="C43" s="37" t="s">
        <v>104</v>
      </c>
      <c r="D43" s="37" t="s">
        <v>186</v>
      </c>
      <c r="E43" s="37" t="s">
        <v>301</v>
      </c>
      <c r="F43" s="37" t="s">
        <v>302</v>
      </c>
      <c r="G43" s="38">
        <v>2</v>
      </c>
      <c r="H43" s="38">
        <v>4</v>
      </c>
      <c r="I43" s="38">
        <v>4</v>
      </c>
      <c r="J43" s="13" t="str">
        <f>IF(IFERROR(INDEX(Scope!$C$24:$C$41,MATCH($B43,Scope!$B$24:$B$41,0)),"Yes")="No","No",IF($D43="All","Yes",IF(IFERROR(INDEX(Scope!$C$18:$C$20,MATCH($D43,Scope!$B$18:$B$20,0)),"Yes")="No","No","Yes")))</f>
        <v>Yes</v>
      </c>
      <c r="K43" s="13"/>
      <c r="L43" s="39">
        <f>Scope!$C$13</f>
        <v>3</v>
      </c>
      <c r="M43" s="31" t="str">
        <f t="shared" si="7"/>
        <v/>
      </c>
      <c r="N43" s="20" t="str">
        <f t="shared" si="8"/>
        <v>Not assessed</v>
      </c>
      <c r="O43" s="10"/>
      <c r="P43" s="10"/>
      <c r="Q43" s="10"/>
      <c r="R43" s="13"/>
      <c r="S43" s="13"/>
      <c r="T43" s="20">
        <f t="shared" si="9"/>
        <v>4</v>
      </c>
      <c r="U43" s="20">
        <f t="shared" si="10"/>
        <v>4</v>
      </c>
      <c r="V43" s="20">
        <f t="shared" si="11"/>
        <v>16</v>
      </c>
      <c r="W43" s="20" t="str">
        <f>INDEX(Risk_Model!$B$30:$B$33,MATCH(V43,Risk_Model!$A$30:$A$33,1))</f>
        <v>High</v>
      </c>
      <c r="X43" s="34" t="str">
        <f>IF(OR(J43="No",K43=""),"",INDEX(Risk_Model!$C$38:$C$43,MATCH(K43,Risk_Model!$A$38:$A$43,0)))</f>
        <v/>
      </c>
      <c r="Y43" s="31" t="str">
        <f t="shared" si="12"/>
        <v/>
      </c>
      <c r="Z43" s="20" t="str">
        <f>IF(Y43="","",INDEX(Risk_Model!$B$30:$B$33,MATCH(Y43,Risk_Model!$A$30:$A$33,1)))</f>
        <v/>
      </c>
      <c r="AA43" s="40" t="str">
        <f t="shared" si="13"/>
        <v/>
      </c>
    </row>
    <row r="44" spans="1:27" ht="37.5" x14ac:dyDescent="0.35">
      <c r="A44" s="36" t="s">
        <v>303</v>
      </c>
      <c r="B44" s="37" t="s">
        <v>66</v>
      </c>
      <c r="C44" s="37" t="s">
        <v>104</v>
      </c>
      <c r="D44" s="37" t="s">
        <v>56</v>
      </c>
      <c r="E44" s="37" t="s">
        <v>304</v>
      </c>
      <c r="F44" s="37" t="s">
        <v>305</v>
      </c>
      <c r="G44" s="38">
        <v>2</v>
      </c>
      <c r="H44" s="38">
        <v>3</v>
      </c>
      <c r="I44" s="38">
        <v>4</v>
      </c>
      <c r="J44" s="13" t="str">
        <f>IF(IFERROR(INDEX(Scope!$C$24:$C$41,MATCH($B44,Scope!$B$24:$B$41,0)),"Yes")="No","No",IF($D44="All","Yes",IF(IFERROR(INDEX(Scope!$C$18:$C$20,MATCH($D44,Scope!$B$18:$B$20,0)),"Yes")="No","No","Yes")))</f>
        <v>Yes</v>
      </c>
      <c r="K44" s="13"/>
      <c r="L44" s="39">
        <f>Scope!$C$13</f>
        <v>3</v>
      </c>
      <c r="M44" s="31" t="str">
        <f t="shared" si="7"/>
        <v/>
      </c>
      <c r="N44" s="20" t="str">
        <f t="shared" si="8"/>
        <v>Not assessed</v>
      </c>
      <c r="O44" s="10"/>
      <c r="P44" s="10"/>
      <c r="Q44" s="10"/>
      <c r="R44" s="13"/>
      <c r="S44" s="13"/>
      <c r="T44" s="20">
        <f t="shared" si="9"/>
        <v>3</v>
      </c>
      <c r="U44" s="20">
        <f t="shared" si="10"/>
        <v>4</v>
      </c>
      <c r="V44" s="20">
        <f t="shared" si="11"/>
        <v>12</v>
      </c>
      <c r="W44" s="20" t="str">
        <f>INDEX(Risk_Model!$B$30:$B$33,MATCH(V44,Risk_Model!$A$30:$A$33,1))</f>
        <v>High</v>
      </c>
      <c r="X44" s="34" t="str">
        <f>IF(OR(J44="No",K44=""),"",INDEX(Risk_Model!$C$38:$C$43,MATCH(K44,Risk_Model!$A$38:$A$43,0)))</f>
        <v/>
      </c>
      <c r="Y44" s="31" t="str">
        <f t="shared" si="12"/>
        <v/>
      </c>
      <c r="Z44" s="20" t="str">
        <f>IF(Y44="","",INDEX(Risk_Model!$B$30:$B$33,MATCH(Y44,Risk_Model!$A$30:$A$33,1)))</f>
        <v/>
      </c>
      <c r="AA44" s="40" t="str">
        <f t="shared" si="13"/>
        <v/>
      </c>
    </row>
    <row r="45" spans="1:27" ht="50" x14ac:dyDescent="0.35">
      <c r="A45" s="36" t="s">
        <v>306</v>
      </c>
      <c r="B45" s="37" t="s">
        <v>66</v>
      </c>
      <c r="C45" s="37" t="s">
        <v>105</v>
      </c>
      <c r="D45" s="37" t="s">
        <v>186</v>
      </c>
      <c r="E45" s="37" t="s">
        <v>307</v>
      </c>
      <c r="F45" s="37" t="s">
        <v>308</v>
      </c>
      <c r="G45" s="38">
        <v>3</v>
      </c>
      <c r="H45" s="38">
        <v>3</v>
      </c>
      <c r="I45" s="38">
        <v>4</v>
      </c>
      <c r="J45" s="13" t="str">
        <f>IF(IFERROR(INDEX(Scope!$C$24:$C$41,MATCH($B45,Scope!$B$24:$B$41,0)),"Yes")="No","No",IF($D45="All","Yes",IF(IFERROR(INDEX(Scope!$C$18:$C$20,MATCH($D45,Scope!$B$18:$B$20,0)),"Yes")="No","No","Yes")))</f>
        <v>Yes</v>
      </c>
      <c r="K45" s="13"/>
      <c r="L45" s="39">
        <f>Scope!$C$13</f>
        <v>3</v>
      </c>
      <c r="M45" s="31" t="str">
        <f t="shared" si="7"/>
        <v/>
      </c>
      <c r="N45" s="20" t="str">
        <f t="shared" si="8"/>
        <v>Not assessed</v>
      </c>
      <c r="O45" s="10"/>
      <c r="P45" s="10"/>
      <c r="Q45" s="10"/>
      <c r="R45" s="13"/>
      <c r="S45" s="13"/>
      <c r="T45" s="20">
        <f t="shared" si="9"/>
        <v>3</v>
      </c>
      <c r="U45" s="20">
        <f t="shared" si="10"/>
        <v>4</v>
      </c>
      <c r="V45" s="20">
        <f t="shared" si="11"/>
        <v>12</v>
      </c>
      <c r="W45" s="20" t="str">
        <f>INDEX(Risk_Model!$B$30:$B$33,MATCH(V45,Risk_Model!$A$30:$A$33,1))</f>
        <v>High</v>
      </c>
      <c r="X45" s="34" t="str">
        <f>IF(OR(J45="No",K45=""),"",INDEX(Risk_Model!$C$38:$C$43,MATCH(K45,Risk_Model!$A$38:$A$43,0)))</f>
        <v/>
      </c>
      <c r="Y45" s="31" t="str">
        <f t="shared" si="12"/>
        <v/>
      </c>
      <c r="Z45" s="20" t="str">
        <f>IF(Y45="","",INDEX(Risk_Model!$B$30:$B$33,MATCH(Y45,Risk_Model!$A$30:$A$33,1)))</f>
        <v/>
      </c>
      <c r="AA45" s="40" t="str">
        <f t="shared" si="13"/>
        <v/>
      </c>
    </row>
    <row r="46" spans="1:27" ht="50" x14ac:dyDescent="0.35">
      <c r="A46" s="36" t="s">
        <v>309</v>
      </c>
      <c r="B46" s="37" t="s">
        <v>66</v>
      </c>
      <c r="C46" s="37" t="s">
        <v>105</v>
      </c>
      <c r="D46" s="37" t="s">
        <v>186</v>
      </c>
      <c r="E46" s="37" t="s">
        <v>310</v>
      </c>
      <c r="F46" s="37" t="s">
        <v>311</v>
      </c>
      <c r="G46" s="38">
        <v>3</v>
      </c>
      <c r="H46" s="38">
        <v>3</v>
      </c>
      <c r="I46" s="38">
        <v>5</v>
      </c>
      <c r="J46" s="13" t="str">
        <f>IF(IFERROR(INDEX(Scope!$C$24:$C$41,MATCH($B46,Scope!$B$24:$B$41,0)),"Yes")="No","No",IF($D46="All","Yes",IF(IFERROR(INDEX(Scope!$C$18:$C$20,MATCH($D46,Scope!$B$18:$B$20,0)),"Yes")="No","No","Yes")))</f>
        <v>Yes</v>
      </c>
      <c r="K46" s="13"/>
      <c r="L46" s="39">
        <f>Scope!$C$13</f>
        <v>3</v>
      </c>
      <c r="M46" s="31" t="str">
        <f t="shared" si="7"/>
        <v/>
      </c>
      <c r="N46" s="20" t="str">
        <f t="shared" si="8"/>
        <v>Not assessed</v>
      </c>
      <c r="O46" s="10"/>
      <c r="P46" s="10"/>
      <c r="Q46" s="10"/>
      <c r="R46" s="13"/>
      <c r="S46" s="13"/>
      <c r="T46" s="20">
        <f t="shared" si="9"/>
        <v>3</v>
      </c>
      <c r="U46" s="20">
        <f t="shared" si="10"/>
        <v>5</v>
      </c>
      <c r="V46" s="20">
        <f t="shared" si="11"/>
        <v>15</v>
      </c>
      <c r="W46" s="20" t="str">
        <f>INDEX(Risk_Model!$B$30:$B$33,MATCH(V46,Risk_Model!$A$30:$A$33,1))</f>
        <v>High</v>
      </c>
      <c r="X46" s="34" t="str">
        <f>IF(OR(J46="No",K46=""),"",INDEX(Risk_Model!$C$38:$C$43,MATCH(K46,Risk_Model!$A$38:$A$43,0)))</f>
        <v/>
      </c>
      <c r="Y46" s="31" t="str">
        <f t="shared" si="12"/>
        <v/>
      </c>
      <c r="Z46" s="20" t="str">
        <f>IF(Y46="","",INDEX(Risk_Model!$B$30:$B$33,MATCH(Y46,Risk_Model!$A$30:$A$33,1)))</f>
        <v/>
      </c>
      <c r="AA46" s="40" t="str">
        <f t="shared" si="13"/>
        <v/>
      </c>
    </row>
    <row r="47" spans="1:27" ht="37.5" x14ac:dyDescent="0.35">
      <c r="A47" s="36" t="s">
        <v>312</v>
      </c>
      <c r="B47" s="37" t="s">
        <v>66</v>
      </c>
      <c r="C47" s="37" t="s">
        <v>106</v>
      </c>
      <c r="D47" s="37" t="s">
        <v>186</v>
      </c>
      <c r="E47" s="37" t="s">
        <v>313</v>
      </c>
      <c r="F47" s="37" t="s">
        <v>314</v>
      </c>
      <c r="G47" s="38">
        <v>3</v>
      </c>
      <c r="H47" s="38">
        <v>3</v>
      </c>
      <c r="I47" s="38">
        <v>5</v>
      </c>
      <c r="J47" s="13" t="str">
        <f>IF(IFERROR(INDEX(Scope!$C$24:$C$41,MATCH($B47,Scope!$B$24:$B$41,0)),"Yes")="No","No",IF($D47="All","Yes",IF(IFERROR(INDEX(Scope!$C$18:$C$20,MATCH($D47,Scope!$B$18:$B$20,0)),"Yes")="No","No","Yes")))</f>
        <v>Yes</v>
      </c>
      <c r="K47" s="13"/>
      <c r="L47" s="39">
        <f>Scope!$C$13</f>
        <v>3</v>
      </c>
      <c r="M47" s="31" t="str">
        <f t="shared" si="7"/>
        <v/>
      </c>
      <c r="N47" s="20" t="str">
        <f t="shared" si="8"/>
        <v>Not assessed</v>
      </c>
      <c r="O47" s="10"/>
      <c r="P47" s="10"/>
      <c r="Q47" s="10"/>
      <c r="R47" s="13"/>
      <c r="S47" s="13"/>
      <c r="T47" s="20">
        <f t="shared" si="9"/>
        <v>3</v>
      </c>
      <c r="U47" s="20">
        <f t="shared" si="10"/>
        <v>5</v>
      </c>
      <c r="V47" s="20">
        <f t="shared" si="11"/>
        <v>15</v>
      </c>
      <c r="W47" s="20" t="str">
        <f>INDEX(Risk_Model!$B$30:$B$33,MATCH(V47,Risk_Model!$A$30:$A$33,1))</f>
        <v>High</v>
      </c>
      <c r="X47" s="34" t="str">
        <f>IF(OR(J47="No",K47=""),"",INDEX(Risk_Model!$C$38:$C$43,MATCH(K47,Risk_Model!$A$38:$A$43,0)))</f>
        <v/>
      </c>
      <c r="Y47" s="31" t="str">
        <f t="shared" si="12"/>
        <v/>
      </c>
      <c r="Z47" s="20" t="str">
        <f>IF(Y47="","",INDEX(Risk_Model!$B$30:$B$33,MATCH(Y47,Risk_Model!$A$30:$A$33,1)))</f>
        <v/>
      </c>
      <c r="AA47" s="40" t="str">
        <f t="shared" si="13"/>
        <v/>
      </c>
    </row>
    <row r="48" spans="1:27" ht="37.5" x14ac:dyDescent="0.35">
      <c r="A48" s="36" t="s">
        <v>315</v>
      </c>
      <c r="B48" s="37" t="s">
        <v>66</v>
      </c>
      <c r="C48" s="37" t="s">
        <v>106</v>
      </c>
      <c r="D48" s="37" t="s">
        <v>186</v>
      </c>
      <c r="E48" s="37" t="s">
        <v>316</v>
      </c>
      <c r="F48" s="37" t="s">
        <v>317</v>
      </c>
      <c r="G48" s="38">
        <v>2</v>
      </c>
      <c r="H48" s="38">
        <v>3</v>
      </c>
      <c r="I48" s="38">
        <v>4</v>
      </c>
      <c r="J48" s="13" t="str">
        <f>IF(IFERROR(INDEX(Scope!$C$24:$C$41,MATCH($B48,Scope!$B$24:$B$41,0)),"Yes")="No","No",IF($D48="All","Yes",IF(IFERROR(INDEX(Scope!$C$18:$C$20,MATCH($D48,Scope!$B$18:$B$20,0)),"Yes")="No","No","Yes")))</f>
        <v>Yes</v>
      </c>
      <c r="K48" s="13"/>
      <c r="L48" s="39">
        <f>Scope!$C$13</f>
        <v>3</v>
      </c>
      <c r="M48" s="31" t="str">
        <f t="shared" si="7"/>
        <v/>
      </c>
      <c r="N48" s="20" t="str">
        <f t="shared" si="8"/>
        <v>Not assessed</v>
      </c>
      <c r="O48" s="10"/>
      <c r="P48" s="10"/>
      <c r="Q48" s="10"/>
      <c r="R48" s="13"/>
      <c r="S48" s="13"/>
      <c r="T48" s="20">
        <f t="shared" si="9"/>
        <v>3</v>
      </c>
      <c r="U48" s="20">
        <f t="shared" si="10"/>
        <v>4</v>
      </c>
      <c r="V48" s="20">
        <f t="shared" si="11"/>
        <v>12</v>
      </c>
      <c r="W48" s="20" t="str">
        <f>INDEX(Risk_Model!$B$30:$B$33,MATCH(V48,Risk_Model!$A$30:$A$33,1))</f>
        <v>High</v>
      </c>
      <c r="X48" s="34" t="str">
        <f>IF(OR(J48="No",K48=""),"",INDEX(Risk_Model!$C$38:$C$43,MATCH(K48,Risk_Model!$A$38:$A$43,0)))</f>
        <v/>
      </c>
      <c r="Y48" s="31" t="str">
        <f t="shared" si="12"/>
        <v/>
      </c>
      <c r="Z48" s="20" t="str">
        <f>IF(Y48="","",INDEX(Risk_Model!$B$30:$B$33,MATCH(Y48,Risk_Model!$A$30:$A$33,1)))</f>
        <v/>
      </c>
      <c r="AA48" s="40" t="str">
        <f t="shared" si="13"/>
        <v/>
      </c>
    </row>
    <row r="49" spans="1:27" ht="37.5" x14ac:dyDescent="0.35">
      <c r="A49" s="36" t="s">
        <v>318</v>
      </c>
      <c r="B49" s="37" t="s">
        <v>66</v>
      </c>
      <c r="C49" s="37" t="s">
        <v>106</v>
      </c>
      <c r="D49" s="37" t="s">
        <v>186</v>
      </c>
      <c r="E49" s="37" t="s">
        <v>319</v>
      </c>
      <c r="F49" s="37" t="s">
        <v>320</v>
      </c>
      <c r="G49" s="38">
        <v>3</v>
      </c>
      <c r="H49" s="38">
        <v>3</v>
      </c>
      <c r="I49" s="38">
        <v>5</v>
      </c>
      <c r="J49" s="13" t="str">
        <f>IF(IFERROR(INDEX(Scope!$C$24:$C$41,MATCH($B49,Scope!$B$24:$B$41,0)),"Yes")="No","No",IF($D49="All","Yes",IF(IFERROR(INDEX(Scope!$C$18:$C$20,MATCH($D49,Scope!$B$18:$B$20,0)),"Yes")="No","No","Yes")))</f>
        <v>Yes</v>
      </c>
      <c r="K49" s="13"/>
      <c r="L49" s="39">
        <f>Scope!$C$13</f>
        <v>3</v>
      </c>
      <c r="M49" s="31" t="str">
        <f t="shared" si="7"/>
        <v/>
      </c>
      <c r="N49" s="20" t="str">
        <f t="shared" si="8"/>
        <v>Not assessed</v>
      </c>
      <c r="O49" s="10"/>
      <c r="P49" s="10"/>
      <c r="Q49" s="10"/>
      <c r="R49" s="13"/>
      <c r="S49" s="13"/>
      <c r="T49" s="20">
        <f t="shared" si="9"/>
        <v>3</v>
      </c>
      <c r="U49" s="20">
        <f t="shared" si="10"/>
        <v>5</v>
      </c>
      <c r="V49" s="20">
        <f t="shared" si="11"/>
        <v>15</v>
      </c>
      <c r="W49" s="20" t="str">
        <f>INDEX(Risk_Model!$B$30:$B$33,MATCH(V49,Risk_Model!$A$30:$A$33,1))</f>
        <v>High</v>
      </c>
      <c r="X49" s="34" t="str">
        <f>IF(OR(J49="No",K49=""),"",INDEX(Risk_Model!$C$38:$C$43,MATCH(K49,Risk_Model!$A$38:$A$43,0)))</f>
        <v/>
      </c>
      <c r="Y49" s="31" t="str">
        <f t="shared" si="12"/>
        <v/>
      </c>
      <c r="Z49" s="20" t="str">
        <f>IF(Y49="","",INDEX(Risk_Model!$B$30:$B$33,MATCH(Y49,Risk_Model!$A$30:$A$33,1)))</f>
        <v/>
      </c>
      <c r="AA49" s="40" t="str">
        <f t="shared" si="13"/>
        <v/>
      </c>
    </row>
    <row r="50" spans="1:27" ht="37.5" x14ac:dyDescent="0.35">
      <c r="A50" s="36" t="s">
        <v>321</v>
      </c>
      <c r="B50" s="37" t="s">
        <v>66</v>
      </c>
      <c r="C50" s="37" t="s">
        <v>106</v>
      </c>
      <c r="D50" s="37" t="s">
        <v>186</v>
      </c>
      <c r="E50" s="37" t="s">
        <v>322</v>
      </c>
      <c r="F50" s="37" t="s">
        <v>323</v>
      </c>
      <c r="G50" s="38">
        <v>3</v>
      </c>
      <c r="H50" s="38">
        <v>4</v>
      </c>
      <c r="I50" s="38">
        <v>5</v>
      </c>
      <c r="J50" s="13" t="str">
        <f>IF(IFERROR(INDEX(Scope!$C$24:$C$41,MATCH($B50,Scope!$B$24:$B$41,0)),"Yes")="No","No",IF($D50="All","Yes",IF(IFERROR(INDEX(Scope!$C$18:$C$20,MATCH($D50,Scope!$B$18:$B$20,0)),"Yes")="No","No","Yes")))</f>
        <v>Yes</v>
      </c>
      <c r="K50" s="13"/>
      <c r="L50" s="39">
        <f>Scope!$C$13</f>
        <v>3</v>
      </c>
      <c r="M50" s="31" t="str">
        <f t="shared" si="7"/>
        <v/>
      </c>
      <c r="N50" s="20" t="str">
        <f t="shared" si="8"/>
        <v>Not assessed</v>
      </c>
      <c r="O50" s="10"/>
      <c r="P50" s="10"/>
      <c r="Q50" s="10"/>
      <c r="R50" s="13"/>
      <c r="S50" s="13"/>
      <c r="T50" s="20">
        <f t="shared" si="9"/>
        <v>4</v>
      </c>
      <c r="U50" s="20">
        <f t="shared" si="10"/>
        <v>5</v>
      </c>
      <c r="V50" s="20">
        <f t="shared" si="11"/>
        <v>20</v>
      </c>
      <c r="W50" s="20" t="str">
        <f>INDEX(Risk_Model!$B$30:$B$33,MATCH(V50,Risk_Model!$A$30:$A$33,1))</f>
        <v>Critical</v>
      </c>
      <c r="X50" s="34" t="str">
        <f>IF(OR(J50="No",K50=""),"",INDEX(Risk_Model!$C$38:$C$43,MATCH(K50,Risk_Model!$A$38:$A$43,0)))</f>
        <v/>
      </c>
      <c r="Y50" s="31" t="str">
        <f t="shared" si="12"/>
        <v/>
      </c>
      <c r="Z50" s="20" t="str">
        <f>IF(Y50="","",INDEX(Risk_Model!$B$30:$B$33,MATCH(Y50,Risk_Model!$A$30:$A$33,1)))</f>
        <v/>
      </c>
      <c r="AA50" s="40" t="str">
        <f t="shared" si="13"/>
        <v/>
      </c>
    </row>
    <row r="51" spans="1:27" ht="37.5" x14ac:dyDescent="0.35">
      <c r="A51" s="36" t="s">
        <v>324</v>
      </c>
      <c r="B51" s="37" t="s">
        <v>66</v>
      </c>
      <c r="C51" s="37" t="s">
        <v>106</v>
      </c>
      <c r="D51" s="37" t="s">
        <v>186</v>
      </c>
      <c r="E51" s="37" t="s">
        <v>325</v>
      </c>
      <c r="F51" s="37" t="s">
        <v>326</v>
      </c>
      <c r="G51" s="38">
        <v>2</v>
      </c>
      <c r="H51" s="38">
        <v>3</v>
      </c>
      <c r="I51" s="38">
        <v>4</v>
      </c>
      <c r="J51" s="13" t="str">
        <f>IF(IFERROR(INDEX(Scope!$C$24:$C$41,MATCH($B51,Scope!$B$24:$B$41,0)),"Yes")="No","No",IF($D51="All","Yes",IF(IFERROR(INDEX(Scope!$C$18:$C$20,MATCH($D51,Scope!$B$18:$B$20,0)),"Yes")="No","No","Yes")))</f>
        <v>Yes</v>
      </c>
      <c r="K51" s="13"/>
      <c r="L51" s="39">
        <f>Scope!$C$13</f>
        <v>3</v>
      </c>
      <c r="M51" s="31" t="str">
        <f t="shared" si="7"/>
        <v/>
      </c>
      <c r="N51" s="20" t="str">
        <f t="shared" si="8"/>
        <v>Not assessed</v>
      </c>
      <c r="O51" s="10"/>
      <c r="P51" s="10"/>
      <c r="Q51" s="10"/>
      <c r="R51" s="13"/>
      <c r="S51" s="13"/>
      <c r="T51" s="20">
        <f t="shared" si="9"/>
        <v>3</v>
      </c>
      <c r="U51" s="20">
        <f t="shared" si="10"/>
        <v>4</v>
      </c>
      <c r="V51" s="20">
        <f t="shared" si="11"/>
        <v>12</v>
      </c>
      <c r="W51" s="20" t="str">
        <f>INDEX(Risk_Model!$B$30:$B$33,MATCH(V51,Risk_Model!$A$30:$A$33,1))</f>
        <v>High</v>
      </c>
      <c r="X51" s="34" t="str">
        <f>IF(OR(J51="No",K51=""),"",INDEX(Risk_Model!$C$38:$C$43,MATCH(K51,Risk_Model!$A$38:$A$43,0)))</f>
        <v/>
      </c>
      <c r="Y51" s="31" t="str">
        <f t="shared" si="12"/>
        <v/>
      </c>
      <c r="Z51" s="20" t="str">
        <f>IF(Y51="","",INDEX(Risk_Model!$B$30:$B$33,MATCH(Y51,Risk_Model!$A$30:$A$33,1)))</f>
        <v/>
      </c>
      <c r="AA51" s="40" t="str">
        <f t="shared" si="13"/>
        <v/>
      </c>
    </row>
    <row r="52" spans="1:27" ht="37.5" x14ac:dyDescent="0.35">
      <c r="A52" s="36" t="s">
        <v>327</v>
      </c>
      <c r="B52" s="37" t="s">
        <v>66</v>
      </c>
      <c r="C52" s="37" t="s">
        <v>106</v>
      </c>
      <c r="D52" s="37" t="s">
        <v>186</v>
      </c>
      <c r="E52" s="37" t="s">
        <v>328</v>
      </c>
      <c r="F52" s="37" t="s">
        <v>329</v>
      </c>
      <c r="G52" s="38">
        <v>3</v>
      </c>
      <c r="H52" s="38">
        <v>4</v>
      </c>
      <c r="I52" s="38">
        <v>5</v>
      </c>
      <c r="J52" s="13" t="str">
        <f>IF(IFERROR(INDEX(Scope!$C$24:$C$41,MATCH($B52,Scope!$B$24:$B$41,0)),"Yes")="No","No",IF($D52="All","Yes",IF(IFERROR(INDEX(Scope!$C$18:$C$20,MATCH($D52,Scope!$B$18:$B$20,0)),"Yes")="No","No","Yes")))</f>
        <v>Yes</v>
      </c>
      <c r="K52" s="13"/>
      <c r="L52" s="39">
        <f>Scope!$C$13</f>
        <v>3</v>
      </c>
      <c r="M52" s="31" t="str">
        <f t="shared" si="7"/>
        <v/>
      </c>
      <c r="N52" s="20" t="str">
        <f t="shared" si="8"/>
        <v>Not assessed</v>
      </c>
      <c r="O52" s="10"/>
      <c r="P52" s="10"/>
      <c r="Q52" s="10"/>
      <c r="R52" s="13"/>
      <c r="S52" s="13"/>
      <c r="T52" s="20">
        <f t="shared" si="9"/>
        <v>4</v>
      </c>
      <c r="U52" s="20">
        <f t="shared" si="10"/>
        <v>5</v>
      </c>
      <c r="V52" s="20">
        <f t="shared" si="11"/>
        <v>20</v>
      </c>
      <c r="W52" s="20" t="str">
        <f>INDEX(Risk_Model!$B$30:$B$33,MATCH(V52,Risk_Model!$A$30:$A$33,1))</f>
        <v>Critical</v>
      </c>
      <c r="X52" s="34" t="str">
        <f>IF(OR(J52="No",K52=""),"",INDEX(Risk_Model!$C$38:$C$43,MATCH(K52,Risk_Model!$A$38:$A$43,0)))</f>
        <v/>
      </c>
      <c r="Y52" s="31" t="str">
        <f t="shared" si="12"/>
        <v/>
      </c>
      <c r="Z52" s="20" t="str">
        <f>IF(Y52="","",INDEX(Risk_Model!$B$30:$B$33,MATCH(Y52,Risk_Model!$A$30:$A$33,1)))</f>
        <v/>
      </c>
      <c r="AA52" s="40" t="str">
        <f t="shared" si="13"/>
        <v/>
      </c>
    </row>
    <row r="53" spans="1:27" ht="37.5" x14ac:dyDescent="0.35">
      <c r="A53" s="36" t="s">
        <v>330</v>
      </c>
      <c r="B53" s="37" t="s">
        <v>66</v>
      </c>
      <c r="C53" s="37" t="s">
        <v>74</v>
      </c>
      <c r="D53" s="37" t="s">
        <v>186</v>
      </c>
      <c r="E53" s="37" t="s">
        <v>331</v>
      </c>
      <c r="F53" s="37" t="s">
        <v>332</v>
      </c>
      <c r="G53" s="38">
        <v>2</v>
      </c>
      <c r="H53" s="38">
        <v>3</v>
      </c>
      <c r="I53" s="38">
        <v>4</v>
      </c>
      <c r="J53" s="13" t="str">
        <f>IF(IFERROR(INDEX(Scope!$C$24:$C$41,MATCH($B53,Scope!$B$24:$B$41,0)),"Yes")="No","No",IF($D53="All","Yes",IF(IFERROR(INDEX(Scope!$C$18:$C$20,MATCH($D53,Scope!$B$18:$B$20,0)),"Yes")="No","No","Yes")))</f>
        <v>Yes</v>
      </c>
      <c r="K53" s="13"/>
      <c r="L53" s="39">
        <f>Scope!$C$13</f>
        <v>3</v>
      </c>
      <c r="M53" s="31" t="str">
        <f t="shared" si="7"/>
        <v/>
      </c>
      <c r="N53" s="20" t="str">
        <f t="shared" si="8"/>
        <v>Not assessed</v>
      </c>
      <c r="O53" s="10"/>
      <c r="P53" s="10"/>
      <c r="Q53" s="10"/>
      <c r="R53" s="13"/>
      <c r="S53" s="13"/>
      <c r="T53" s="20">
        <f t="shared" si="9"/>
        <v>3</v>
      </c>
      <c r="U53" s="20">
        <f t="shared" si="10"/>
        <v>4</v>
      </c>
      <c r="V53" s="20">
        <f t="shared" si="11"/>
        <v>12</v>
      </c>
      <c r="W53" s="20" t="str">
        <f>INDEX(Risk_Model!$B$30:$B$33,MATCH(V53,Risk_Model!$A$30:$A$33,1))</f>
        <v>High</v>
      </c>
      <c r="X53" s="34" t="str">
        <f>IF(OR(J53="No",K53=""),"",INDEX(Risk_Model!$C$38:$C$43,MATCH(K53,Risk_Model!$A$38:$A$43,0)))</f>
        <v/>
      </c>
      <c r="Y53" s="31" t="str">
        <f t="shared" si="12"/>
        <v/>
      </c>
      <c r="Z53" s="20" t="str">
        <f>IF(Y53="","",INDEX(Risk_Model!$B$30:$B$33,MATCH(Y53,Risk_Model!$A$30:$A$33,1)))</f>
        <v/>
      </c>
      <c r="AA53" s="40" t="str">
        <f t="shared" si="13"/>
        <v/>
      </c>
    </row>
    <row r="54" spans="1:27" ht="37.5" x14ac:dyDescent="0.35">
      <c r="A54" s="36" t="s">
        <v>333</v>
      </c>
      <c r="B54" s="37" t="s">
        <v>66</v>
      </c>
      <c r="C54" s="37" t="s">
        <v>74</v>
      </c>
      <c r="D54" s="37" t="s">
        <v>186</v>
      </c>
      <c r="E54" s="37" t="s">
        <v>334</v>
      </c>
      <c r="F54" s="37" t="s">
        <v>335</v>
      </c>
      <c r="G54" s="38">
        <v>2</v>
      </c>
      <c r="H54" s="38">
        <v>3</v>
      </c>
      <c r="I54" s="38">
        <v>4</v>
      </c>
      <c r="J54" s="13" t="str">
        <f>IF(IFERROR(INDEX(Scope!$C$24:$C$41,MATCH($B54,Scope!$B$24:$B$41,0)),"Yes")="No","No",IF($D54="All","Yes",IF(IFERROR(INDEX(Scope!$C$18:$C$20,MATCH($D54,Scope!$B$18:$B$20,0)),"Yes")="No","No","Yes")))</f>
        <v>Yes</v>
      </c>
      <c r="K54" s="13"/>
      <c r="L54" s="39">
        <f>Scope!$C$13</f>
        <v>3</v>
      </c>
      <c r="M54" s="31" t="str">
        <f t="shared" si="7"/>
        <v/>
      </c>
      <c r="N54" s="20" t="str">
        <f t="shared" si="8"/>
        <v>Not assessed</v>
      </c>
      <c r="O54" s="10"/>
      <c r="P54" s="10"/>
      <c r="Q54" s="10"/>
      <c r="R54" s="13"/>
      <c r="S54" s="13"/>
      <c r="T54" s="20">
        <f t="shared" si="9"/>
        <v>3</v>
      </c>
      <c r="U54" s="20">
        <f t="shared" si="10"/>
        <v>4</v>
      </c>
      <c r="V54" s="20">
        <f t="shared" si="11"/>
        <v>12</v>
      </c>
      <c r="W54" s="20" t="str">
        <f>INDEX(Risk_Model!$B$30:$B$33,MATCH(V54,Risk_Model!$A$30:$A$33,1))</f>
        <v>High</v>
      </c>
      <c r="X54" s="34" t="str">
        <f>IF(OR(J54="No",K54=""),"",INDEX(Risk_Model!$C$38:$C$43,MATCH(K54,Risk_Model!$A$38:$A$43,0)))</f>
        <v/>
      </c>
      <c r="Y54" s="31" t="str">
        <f t="shared" si="12"/>
        <v/>
      </c>
      <c r="Z54" s="20" t="str">
        <f>IF(Y54="","",INDEX(Risk_Model!$B$30:$B$33,MATCH(Y54,Risk_Model!$A$30:$A$33,1)))</f>
        <v/>
      </c>
      <c r="AA54" s="40" t="str">
        <f t="shared" si="13"/>
        <v/>
      </c>
    </row>
    <row r="55" spans="1:27" ht="50" x14ac:dyDescent="0.35">
      <c r="A55" s="36" t="s">
        <v>336</v>
      </c>
      <c r="B55" s="37" t="s">
        <v>66</v>
      </c>
      <c r="C55" s="37" t="s">
        <v>74</v>
      </c>
      <c r="D55" s="37" t="s">
        <v>186</v>
      </c>
      <c r="E55" s="37" t="s">
        <v>337</v>
      </c>
      <c r="F55" s="37" t="s">
        <v>338</v>
      </c>
      <c r="G55" s="38">
        <v>1</v>
      </c>
      <c r="H55" s="38">
        <v>2</v>
      </c>
      <c r="I55" s="38">
        <v>4</v>
      </c>
      <c r="J55" s="13" t="str">
        <f>IF(IFERROR(INDEX(Scope!$C$24:$C$41,MATCH($B55,Scope!$B$24:$B$41,0)),"Yes")="No","No",IF($D55="All","Yes",IF(IFERROR(INDEX(Scope!$C$18:$C$20,MATCH($D55,Scope!$B$18:$B$20,0)),"Yes")="No","No","Yes")))</f>
        <v>Yes</v>
      </c>
      <c r="K55" s="13"/>
      <c r="L55" s="39">
        <f>Scope!$C$13</f>
        <v>3</v>
      </c>
      <c r="M55" s="31" t="str">
        <f t="shared" si="7"/>
        <v/>
      </c>
      <c r="N55" s="20" t="str">
        <f t="shared" si="8"/>
        <v>Not assessed</v>
      </c>
      <c r="O55" s="10"/>
      <c r="P55" s="10"/>
      <c r="Q55" s="10"/>
      <c r="R55" s="13"/>
      <c r="S55" s="13"/>
      <c r="T55" s="20">
        <f t="shared" si="9"/>
        <v>2</v>
      </c>
      <c r="U55" s="20">
        <f t="shared" si="10"/>
        <v>4</v>
      </c>
      <c r="V55" s="20">
        <f t="shared" si="11"/>
        <v>8</v>
      </c>
      <c r="W55" s="20" t="str">
        <f>INDEX(Risk_Model!$B$30:$B$33,MATCH(V55,Risk_Model!$A$30:$A$33,1))</f>
        <v>Medium</v>
      </c>
      <c r="X55" s="34" t="str">
        <f>IF(OR(J55="No",K55=""),"",INDEX(Risk_Model!$C$38:$C$43,MATCH(K55,Risk_Model!$A$38:$A$43,0)))</f>
        <v/>
      </c>
      <c r="Y55" s="31" t="str">
        <f t="shared" si="12"/>
        <v/>
      </c>
      <c r="Z55" s="20" t="str">
        <f>IF(Y55="","",INDEX(Risk_Model!$B$30:$B$33,MATCH(Y55,Risk_Model!$A$30:$A$33,1)))</f>
        <v/>
      </c>
      <c r="AA55" s="40" t="str">
        <f t="shared" si="13"/>
        <v/>
      </c>
    </row>
    <row r="56" spans="1:27" ht="50" x14ac:dyDescent="0.35">
      <c r="A56" s="36" t="s">
        <v>339</v>
      </c>
      <c r="B56" s="37" t="s">
        <v>66</v>
      </c>
      <c r="C56" s="37" t="s">
        <v>107</v>
      </c>
      <c r="D56" s="37" t="s">
        <v>186</v>
      </c>
      <c r="E56" s="37" t="s">
        <v>340</v>
      </c>
      <c r="F56" s="37" t="s">
        <v>341</v>
      </c>
      <c r="G56" s="38">
        <v>3</v>
      </c>
      <c r="H56" s="38">
        <v>3</v>
      </c>
      <c r="I56" s="38">
        <v>4</v>
      </c>
      <c r="J56" s="13" t="str">
        <f>IF(IFERROR(INDEX(Scope!$C$24:$C$41,MATCH($B56,Scope!$B$24:$B$41,0)),"Yes")="No","No",IF($D56="All","Yes",IF(IFERROR(INDEX(Scope!$C$18:$C$20,MATCH($D56,Scope!$B$18:$B$20,0)),"Yes")="No","No","Yes")))</f>
        <v>Yes</v>
      </c>
      <c r="K56" s="13"/>
      <c r="L56" s="39">
        <f>Scope!$C$13</f>
        <v>3</v>
      </c>
      <c r="M56" s="31" t="str">
        <f t="shared" si="7"/>
        <v/>
      </c>
      <c r="N56" s="20" t="str">
        <f t="shared" si="8"/>
        <v>Not assessed</v>
      </c>
      <c r="O56" s="10"/>
      <c r="P56" s="10"/>
      <c r="Q56" s="10"/>
      <c r="R56" s="13"/>
      <c r="S56" s="13"/>
      <c r="T56" s="20">
        <f t="shared" si="9"/>
        <v>3</v>
      </c>
      <c r="U56" s="20">
        <f t="shared" si="10"/>
        <v>4</v>
      </c>
      <c r="V56" s="20">
        <f t="shared" si="11"/>
        <v>12</v>
      </c>
      <c r="W56" s="20" t="str">
        <f>INDEX(Risk_Model!$B$30:$B$33,MATCH(V56,Risk_Model!$A$30:$A$33,1))</f>
        <v>High</v>
      </c>
      <c r="X56" s="34" t="str">
        <f>IF(OR(J56="No",K56=""),"",INDEX(Risk_Model!$C$38:$C$43,MATCH(K56,Risk_Model!$A$38:$A$43,0)))</f>
        <v/>
      </c>
      <c r="Y56" s="31" t="str">
        <f t="shared" si="12"/>
        <v/>
      </c>
      <c r="Z56" s="20" t="str">
        <f>IF(Y56="","",INDEX(Risk_Model!$B$30:$B$33,MATCH(Y56,Risk_Model!$A$30:$A$33,1)))</f>
        <v/>
      </c>
      <c r="AA56" s="40" t="str">
        <f t="shared" si="13"/>
        <v/>
      </c>
    </row>
    <row r="57" spans="1:27" ht="62.5" x14ac:dyDescent="0.35">
      <c r="A57" s="36" t="s">
        <v>342</v>
      </c>
      <c r="B57" s="37" t="s">
        <v>66</v>
      </c>
      <c r="C57" s="37" t="s">
        <v>107</v>
      </c>
      <c r="D57" s="37" t="s">
        <v>186</v>
      </c>
      <c r="E57" s="37" t="s">
        <v>343</v>
      </c>
      <c r="F57" s="37" t="s">
        <v>344</v>
      </c>
      <c r="G57" s="38">
        <v>2</v>
      </c>
      <c r="H57" s="38">
        <v>3</v>
      </c>
      <c r="I57" s="38">
        <v>3</v>
      </c>
      <c r="J57" s="13" t="str">
        <f>IF(IFERROR(INDEX(Scope!$C$24:$C$41,MATCH($B57,Scope!$B$24:$B$41,0)),"Yes")="No","No",IF($D57="All","Yes",IF(IFERROR(INDEX(Scope!$C$18:$C$20,MATCH($D57,Scope!$B$18:$B$20,0)),"Yes")="No","No","Yes")))</f>
        <v>Yes</v>
      </c>
      <c r="K57" s="13"/>
      <c r="L57" s="39">
        <f>Scope!$C$13</f>
        <v>3</v>
      </c>
      <c r="M57" s="31" t="str">
        <f t="shared" si="7"/>
        <v/>
      </c>
      <c r="N57" s="20" t="str">
        <f t="shared" si="8"/>
        <v>Not assessed</v>
      </c>
      <c r="O57" s="10"/>
      <c r="P57" s="10"/>
      <c r="Q57" s="10"/>
      <c r="R57" s="13"/>
      <c r="S57" s="13"/>
      <c r="T57" s="20">
        <f t="shared" si="9"/>
        <v>3</v>
      </c>
      <c r="U57" s="20">
        <f t="shared" si="10"/>
        <v>3</v>
      </c>
      <c r="V57" s="20">
        <f t="shared" si="11"/>
        <v>9</v>
      </c>
      <c r="W57" s="20" t="str">
        <f>INDEX(Risk_Model!$B$30:$B$33,MATCH(V57,Risk_Model!$A$30:$A$33,1))</f>
        <v>Medium</v>
      </c>
      <c r="X57" s="34" t="str">
        <f>IF(OR(J57="No",K57=""),"",INDEX(Risk_Model!$C$38:$C$43,MATCH(K57,Risk_Model!$A$38:$A$43,0)))</f>
        <v/>
      </c>
      <c r="Y57" s="31" t="str">
        <f t="shared" si="12"/>
        <v/>
      </c>
      <c r="Z57" s="20" t="str">
        <f>IF(Y57="","",INDEX(Risk_Model!$B$30:$B$33,MATCH(Y57,Risk_Model!$A$30:$A$33,1)))</f>
        <v/>
      </c>
      <c r="AA57" s="40" t="str">
        <f t="shared" si="13"/>
        <v/>
      </c>
    </row>
    <row r="58" spans="1:27" ht="50" x14ac:dyDescent="0.35">
      <c r="A58" s="36" t="s">
        <v>345</v>
      </c>
      <c r="B58" s="37" t="s">
        <v>66</v>
      </c>
      <c r="C58" s="37" t="s">
        <v>107</v>
      </c>
      <c r="D58" s="37" t="s">
        <v>186</v>
      </c>
      <c r="E58" s="37" t="s">
        <v>346</v>
      </c>
      <c r="F58" s="37" t="s">
        <v>347</v>
      </c>
      <c r="G58" s="38">
        <v>2</v>
      </c>
      <c r="H58" s="38">
        <v>3</v>
      </c>
      <c r="I58" s="38">
        <v>4</v>
      </c>
      <c r="J58" s="13" t="str">
        <f>IF(IFERROR(INDEX(Scope!$C$24:$C$41,MATCH($B58,Scope!$B$24:$B$41,0)),"Yes")="No","No",IF($D58="All","Yes",IF(IFERROR(INDEX(Scope!$C$18:$C$20,MATCH($D58,Scope!$B$18:$B$20,0)),"Yes")="No","No","Yes")))</f>
        <v>Yes</v>
      </c>
      <c r="K58" s="13"/>
      <c r="L58" s="39">
        <f>Scope!$C$13</f>
        <v>3</v>
      </c>
      <c r="M58" s="31" t="str">
        <f t="shared" si="7"/>
        <v/>
      </c>
      <c r="N58" s="20" t="str">
        <f t="shared" si="8"/>
        <v>Not assessed</v>
      </c>
      <c r="O58" s="10"/>
      <c r="P58" s="10"/>
      <c r="Q58" s="10"/>
      <c r="R58" s="13"/>
      <c r="S58" s="13"/>
      <c r="T58" s="20">
        <f t="shared" si="9"/>
        <v>3</v>
      </c>
      <c r="U58" s="20">
        <f t="shared" si="10"/>
        <v>4</v>
      </c>
      <c r="V58" s="20">
        <f t="shared" si="11"/>
        <v>12</v>
      </c>
      <c r="W58" s="20" t="str">
        <f>INDEX(Risk_Model!$B$30:$B$33,MATCH(V58,Risk_Model!$A$30:$A$33,1))</f>
        <v>High</v>
      </c>
      <c r="X58" s="34" t="str">
        <f>IF(OR(J58="No",K58=""),"",INDEX(Risk_Model!$C$38:$C$43,MATCH(K58,Risk_Model!$A$38:$A$43,0)))</f>
        <v/>
      </c>
      <c r="Y58" s="31" t="str">
        <f t="shared" si="12"/>
        <v/>
      </c>
      <c r="Z58" s="20" t="str">
        <f>IF(Y58="","",INDEX(Risk_Model!$B$30:$B$33,MATCH(Y58,Risk_Model!$A$30:$A$33,1)))</f>
        <v/>
      </c>
      <c r="AA58" s="40" t="str">
        <f t="shared" si="13"/>
        <v/>
      </c>
    </row>
    <row r="59" spans="1:27" ht="50" x14ac:dyDescent="0.35">
      <c r="A59" s="36" t="s">
        <v>348</v>
      </c>
      <c r="B59" s="37" t="s">
        <v>66</v>
      </c>
      <c r="C59" s="37" t="s">
        <v>107</v>
      </c>
      <c r="D59" s="37" t="s">
        <v>186</v>
      </c>
      <c r="E59" s="37" t="s">
        <v>349</v>
      </c>
      <c r="F59" s="37" t="s">
        <v>350</v>
      </c>
      <c r="G59" s="38">
        <v>2</v>
      </c>
      <c r="H59" s="38">
        <v>3</v>
      </c>
      <c r="I59" s="38">
        <v>4</v>
      </c>
      <c r="J59" s="13" t="str">
        <f>IF(IFERROR(INDEX(Scope!$C$24:$C$41,MATCH($B59,Scope!$B$24:$B$41,0)),"Yes")="No","No",IF($D59="All","Yes",IF(IFERROR(INDEX(Scope!$C$18:$C$20,MATCH($D59,Scope!$B$18:$B$20,0)),"Yes")="No","No","Yes")))</f>
        <v>Yes</v>
      </c>
      <c r="K59" s="13"/>
      <c r="L59" s="39">
        <f>Scope!$C$13</f>
        <v>3</v>
      </c>
      <c r="M59" s="31" t="str">
        <f t="shared" si="7"/>
        <v/>
      </c>
      <c r="N59" s="20" t="str">
        <f t="shared" si="8"/>
        <v>Not assessed</v>
      </c>
      <c r="O59" s="10"/>
      <c r="P59" s="10"/>
      <c r="Q59" s="10"/>
      <c r="R59" s="13"/>
      <c r="S59" s="13"/>
      <c r="T59" s="20">
        <f t="shared" si="9"/>
        <v>3</v>
      </c>
      <c r="U59" s="20">
        <f t="shared" si="10"/>
        <v>4</v>
      </c>
      <c r="V59" s="20">
        <f t="shared" si="11"/>
        <v>12</v>
      </c>
      <c r="W59" s="20" t="str">
        <f>INDEX(Risk_Model!$B$30:$B$33,MATCH(V59,Risk_Model!$A$30:$A$33,1))</f>
        <v>High</v>
      </c>
      <c r="X59" s="34" t="str">
        <f>IF(OR(J59="No",K59=""),"",INDEX(Risk_Model!$C$38:$C$43,MATCH(K59,Risk_Model!$A$38:$A$43,0)))</f>
        <v/>
      </c>
      <c r="Y59" s="31" t="str">
        <f t="shared" si="12"/>
        <v/>
      </c>
      <c r="Z59" s="20" t="str">
        <f>IF(Y59="","",INDEX(Risk_Model!$B$30:$B$33,MATCH(Y59,Risk_Model!$A$30:$A$33,1)))</f>
        <v/>
      </c>
      <c r="AA59" s="40" t="str">
        <f t="shared" si="13"/>
        <v/>
      </c>
    </row>
    <row r="60" spans="1:27" ht="62.5" x14ac:dyDescent="0.35">
      <c r="A60" s="36" t="s">
        <v>351</v>
      </c>
      <c r="B60" s="37" t="s">
        <v>66</v>
      </c>
      <c r="C60" s="37" t="s">
        <v>108</v>
      </c>
      <c r="D60" s="37" t="s">
        <v>58</v>
      </c>
      <c r="E60" s="37" t="s">
        <v>352</v>
      </c>
      <c r="F60" s="37" t="s">
        <v>353</v>
      </c>
      <c r="G60" s="38">
        <v>3</v>
      </c>
      <c r="H60" s="38">
        <v>3</v>
      </c>
      <c r="I60" s="38">
        <v>5</v>
      </c>
      <c r="J60" s="13" t="str">
        <f>IF(IFERROR(INDEX(Scope!$C$24:$C$41,MATCH($B60,Scope!$B$24:$B$41,0)),"Yes")="No","No",IF($D60="All","Yes",IF(IFERROR(INDEX(Scope!$C$18:$C$20,MATCH($D60,Scope!$B$18:$B$20,0)),"Yes")="No","No","Yes")))</f>
        <v>Yes</v>
      </c>
      <c r="K60" s="13"/>
      <c r="L60" s="39">
        <f>Scope!$C$13</f>
        <v>3</v>
      </c>
      <c r="M60" s="31" t="str">
        <f t="shared" si="7"/>
        <v/>
      </c>
      <c r="N60" s="20" t="str">
        <f t="shared" si="8"/>
        <v>Not assessed</v>
      </c>
      <c r="O60" s="10"/>
      <c r="P60" s="10"/>
      <c r="Q60" s="10"/>
      <c r="R60" s="13"/>
      <c r="S60" s="13"/>
      <c r="T60" s="20">
        <f t="shared" si="9"/>
        <v>3</v>
      </c>
      <c r="U60" s="20">
        <f t="shared" si="10"/>
        <v>5</v>
      </c>
      <c r="V60" s="20">
        <f t="shared" si="11"/>
        <v>15</v>
      </c>
      <c r="W60" s="20" t="str">
        <f>INDEX(Risk_Model!$B$30:$B$33,MATCH(V60,Risk_Model!$A$30:$A$33,1))</f>
        <v>High</v>
      </c>
      <c r="X60" s="34" t="str">
        <f>IF(OR(J60="No",K60=""),"",INDEX(Risk_Model!$C$38:$C$43,MATCH(K60,Risk_Model!$A$38:$A$43,0)))</f>
        <v/>
      </c>
      <c r="Y60" s="31" t="str">
        <f t="shared" si="12"/>
        <v/>
      </c>
      <c r="Z60" s="20" t="str">
        <f>IF(Y60="","",INDEX(Risk_Model!$B$30:$B$33,MATCH(Y60,Risk_Model!$A$30:$A$33,1)))</f>
        <v/>
      </c>
      <c r="AA60" s="40" t="str">
        <f t="shared" si="13"/>
        <v/>
      </c>
    </row>
    <row r="61" spans="1:27" ht="50" x14ac:dyDescent="0.35">
      <c r="A61" s="36" t="s">
        <v>354</v>
      </c>
      <c r="B61" s="37" t="s">
        <v>66</v>
      </c>
      <c r="C61" s="37" t="s">
        <v>108</v>
      </c>
      <c r="D61" s="37" t="s">
        <v>58</v>
      </c>
      <c r="E61" s="37" t="s">
        <v>355</v>
      </c>
      <c r="F61" s="37" t="s">
        <v>356</v>
      </c>
      <c r="G61" s="38">
        <v>3</v>
      </c>
      <c r="H61" s="38">
        <v>4</v>
      </c>
      <c r="I61" s="38">
        <v>5</v>
      </c>
      <c r="J61" s="13" t="str">
        <f>IF(IFERROR(INDEX(Scope!$C$24:$C$41,MATCH($B61,Scope!$B$24:$B$41,0)),"Yes")="No","No",IF($D61="All","Yes",IF(IFERROR(INDEX(Scope!$C$18:$C$20,MATCH($D61,Scope!$B$18:$B$20,0)),"Yes")="No","No","Yes")))</f>
        <v>Yes</v>
      </c>
      <c r="K61" s="13"/>
      <c r="L61" s="39">
        <f>Scope!$C$13</f>
        <v>3</v>
      </c>
      <c r="M61" s="31" t="str">
        <f t="shared" si="7"/>
        <v/>
      </c>
      <c r="N61" s="20" t="str">
        <f t="shared" si="8"/>
        <v>Not assessed</v>
      </c>
      <c r="O61" s="10"/>
      <c r="P61" s="10"/>
      <c r="Q61" s="10"/>
      <c r="R61" s="13"/>
      <c r="S61" s="13"/>
      <c r="T61" s="20">
        <f t="shared" si="9"/>
        <v>4</v>
      </c>
      <c r="U61" s="20">
        <f t="shared" si="10"/>
        <v>5</v>
      </c>
      <c r="V61" s="20">
        <f t="shared" si="11"/>
        <v>20</v>
      </c>
      <c r="W61" s="20" t="str">
        <f>INDEX(Risk_Model!$B$30:$B$33,MATCH(V61,Risk_Model!$A$30:$A$33,1))</f>
        <v>Critical</v>
      </c>
      <c r="X61" s="34" t="str">
        <f>IF(OR(J61="No",K61=""),"",INDEX(Risk_Model!$C$38:$C$43,MATCH(K61,Risk_Model!$A$38:$A$43,0)))</f>
        <v/>
      </c>
      <c r="Y61" s="31" t="str">
        <f t="shared" si="12"/>
        <v/>
      </c>
      <c r="Z61" s="20" t="str">
        <f>IF(Y61="","",INDEX(Risk_Model!$B$30:$B$33,MATCH(Y61,Risk_Model!$A$30:$A$33,1)))</f>
        <v/>
      </c>
      <c r="AA61" s="40" t="str">
        <f t="shared" si="13"/>
        <v/>
      </c>
    </row>
    <row r="62" spans="1:27" ht="50" x14ac:dyDescent="0.35">
      <c r="A62" s="36" t="s">
        <v>357</v>
      </c>
      <c r="B62" s="37" t="s">
        <v>66</v>
      </c>
      <c r="C62" s="37" t="s">
        <v>108</v>
      </c>
      <c r="D62" s="37" t="s">
        <v>58</v>
      </c>
      <c r="E62" s="37" t="s">
        <v>358</v>
      </c>
      <c r="F62" s="37" t="s">
        <v>359</v>
      </c>
      <c r="G62" s="38">
        <v>2</v>
      </c>
      <c r="H62" s="38">
        <v>2</v>
      </c>
      <c r="I62" s="38">
        <v>4</v>
      </c>
      <c r="J62" s="13" t="str">
        <f>IF(IFERROR(INDEX(Scope!$C$24:$C$41,MATCH($B62,Scope!$B$24:$B$41,0)),"Yes")="No","No",IF($D62="All","Yes",IF(IFERROR(INDEX(Scope!$C$18:$C$20,MATCH($D62,Scope!$B$18:$B$20,0)),"Yes")="No","No","Yes")))</f>
        <v>Yes</v>
      </c>
      <c r="K62" s="13"/>
      <c r="L62" s="39">
        <f>Scope!$C$13</f>
        <v>3</v>
      </c>
      <c r="M62" s="31" t="str">
        <f t="shared" si="7"/>
        <v/>
      </c>
      <c r="N62" s="20" t="str">
        <f t="shared" si="8"/>
        <v>Not assessed</v>
      </c>
      <c r="O62" s="10"/>
      <c r="P62" s="10"/>
      <c r="Q62" s="10"/>
      <c r="R62" s="13"/>
      <c r="S62" s="13"/>
      <c r="T62" s="20">
        <f t="shared" si="9"/>
        <v>2</v>
      </c>
      <c r="U62" s="20">
        <f t="shared" si="10"/>
        <v>4</v>
      </c>
      <c r="V62" s="20">
        <f t="shared" si="11"/>
        <v>8</v>
      </c>
      <c r="W62" s="20" t="str">
        <f>INDEX(Risk_Model!$B$30:$B$33,MATCH(V62,Risk_Model!$A$30:$A$33,1))</f>
        <v>Medium</v>
      </c>
      <c r="X62" s="34" t="str">
        <f>IF(OR(J62="No",K62=""),"",INDEX(Risk_Model!$C$38:$C$43,MATCH(K62,Risk_Model!$A$38:$A$43,0)))</f>
        <v/>
      </c>
      <c r="Y62" s="31" t="str">
        <f t="shared" si="12"/>
        <v/>
      </c>
      <c r="Z62" s="20" t="str">
        <f>IF(Y62="","",INDEX(Risk_Model!$B$30:$B$33,MATCH(Y62,Risk_Model!$A$30:$A$33,1)))</f>
        <v/>
      </c>
      <c r="AA62" s="40" t="str">
        <f t="shared" si="13"/>
        <v/>
      </c>
    </row>
    <row r="63" spans="1:27" ht="62.5" x14ac:dyDescent="0.35">
      <c r="A63" s="36" t="s">
        <v>360</v>
      </c>
      <c r="B63" s="37" t="s">
        <v>66</v>
      </c>
      <c r="C63" s="37" t="s">
        <v>108</v>
      </c>
      <c r="D63" s="37" t="s">
        <v>58</v>
      </c>
      <c r="E63" s="37" t="s">
        <v>361</v>
      </c>
      <c r="F63" s="37" t="s">
        <v>362</v>
      </c>
      <c r="G63" s="38">
        <v>2</v>
      </c>
      <c r="H63" s="38">
        <v>3</v>
      </c>
      <c r="I63" s="38">
        <v>4</v>
      </c>
      <c r="J63" s="13" t="str">
        <f>IF(IFERROR(INDEX(Scope!$C$24:$C$41,MATCH($B63,Scope!$B$24:$B$41,0)),"Yes")="No","No",IF($D63="All","Yes",IF(IFERROR(INDEX(Scope!$C$18:$C$20,MATCH($D63,Scope!$B$18:$B$20,0)),"Yes")="No","No","Yes")))</f>
        <v>Yes</v>
      </c>
      <c r="K63" s="13"/>
      <c r="L63" s="39">
        <f>Scope!$C$13</f>
        <v>3</v>
      </c>
      <c r="M63" s="31" t="str">
        <f t="shared" si="7"/>
        <v/>
      </c>
      <c r="N63" s="20" t="str">
        <f t="shared" si="8"/>
        <v>Not assessed</v>
      </c>
      <c r="O63" s="10"/>
      <c r="P63" s="10"/>
      <c r="Q63" s="10"/>
      <c r="R63" s="13"/>
      <c r="S63" s="13"/>
      <c r="T63" s="20">
        <f t="shared" si="9"/>
        <v>3</v>
      </c>
      <c r="U63" s="20">
        <f t="shared" si="10"/>
        <v>4</v>
      </c>
      <c r="V63" s="20">
        <f t="shared" si="11"/>
        <v>12</v>
      </c>
      <c r="W63" s="20" t="str">
        <f>INDEX(Risk_Model!$B$30:$B$33,MATCH(V63,Risk_Model!$A$30:$A$33,1))</f>
        <v>High</v>
      </c>
      <c r="X63" s="34" t="str">
        <f>IF(OR(J63="No",K63=""),"",INDEX(Risk_Model!$C$38:$C$43,MATCH(K63,Risk_Model!$A$38:$A$43,0)))</f>
        <v/>
      </c>
      <c r="Y63" s="31" t="str">
        <f t="shared" si="12"/>
        <v/>
      </c>
      <c r="Z63" s="20" t="str">
        <f>IF(Y63="","",INDEX(Risk_Model!$B$30:$B$33,MATCH(Y63,Risk_Model!$A$30:$A$33,1)))</f>
        <v/>
      </c>
      <c r="AA63" s="40" t="str">
        <f t="shared" si="13"/>
        <v/>
      </c>
    </row>
    <row r="64" spans="1:27" ht="62.5" x14ac:dyDescent="0.35">
      <c r="A64" s="36" t="s">
        <v>363</v>
      </c>
      <c r="B64" s="37" t="s">
        <v>66</v>
      </c>
      <c r="C64" s="37" t="s">
        <v>108</v>
      </c>
      <c r="D64" s="37" t="s">
        <v>58</v>
      </c>
      <c r="E64" s="37" t="s">
        <v>364</v>
      </c>
      <c r="F64" s="37" t="s">
        <v>365</v>
      </c>
      <c r="G64" s="38">
        <v>3</v>
      </c>
      <c r="H64" s="38">
        <v>3</v>
      </c>
      <c r="I64" s="38">
        <v>5</v>
      </c>
      <c r="J64" s="13" t="str">
        <f>IF(IFERROR(INDEX(Scope!$C$24:$C$41,MATCH($B64,Scope!$B$24:$B$41,0)),"Yes")="No","No",IF($D64="All","Yes",IF(IFERROR(INDEX(Scope!$C$18:$C$20,MATCH($D64,Scope!$B$18:$B$20,0)),"Yes")="No","No","Yes")))</f>
        <v>Yes</v>
      </c>
      <c r="K64" s="13"/>
      <c r="L64" s="39">
        <f>Scope!$C$13</f>
        <v>3</v>
      </c>
      <c r="M64" s="31" t="str">
        <f t="shared" si="7"/>
        <v/>
      </c>
      <c r="N64" s="20" t="str">
        <f t="shared" si="8"/>
        <v>Not assessed</v>
      </c>
      <c r="O64" s="10"/>
      <c r="P64" s="10"/>
      <c r="Q64" s="10"/>
      <c r="R64" s="13"/>
      <c r="S64" s="13"/>
      <c r="T64" s="20">
        <f t="shared" si="9"/>
        <v>3</v>
      </c>
      <c r="U64" s="20">
        <f t="shared" si="10"/>
        <v>5</v>
      </c>
      <c r="V64" s="20">
        <f t="shared" si="11"/>
        <v>15</v>
      </c>
      <c r="W64" s="20" t="str">
        <f>INDEX(Risk_Model!$B$30:$B$33,MATCH(V64,Risk_Model!$A$30:$A$33,1))</f>
        <v>High</v>
      </c>
      <c r="X64" s="34" t="str">
        <f>IF(OR(J64="No",K64=""),"",INDEX(Risk_Model!$C$38:$C$43,MATCH(K64,Risk_Model!$A$38:$A$43,0)))</f>
        <v/>
      </c>
      <c r="Y64" s="31" t="str">
        <f t="shared" si="12"/>
        <v/>
      </c>
      <c r="Z64" s="20" t="str">
        <f>IF(Y64="","",INDEX(Risk_Model!$B$30:$B$33,MATCH(Y64,Risk_Model!$A$30:$A$33,1)))</f>
        <v/>
      </c>
      <c r="AA64" s="40" t="str">
        <f t="shared" si="13"/>
        <v/>
      </c>
    </row>
  </sheetData>
  <autoFilter ref="A4:AA64" xr:uid="{00000000-0009-0000-0000-000003000000}"/>
  <conditionalFormatting sqref="K5:K64">
    <cfRule type="colorScale" priority="10">
      <colorScale>
        <cfvo type="num" val="0"/>
        <cfvo type="num" val="2.5"/>
        <cfvo type="num" val="5"/>
        <color rgb="FFF8696B"/>
        <color rgb="FFFFEB84"/>
        <color rgb="FF63BE7B"/>
      </colorScale>
    </cfRule>
  </conditionalFormatting>
  <conditionalFormatting sqref="N5:N64">
    <cfRule type="cellIs" dxfId="40" priority="11" operator="equal">
      <formula>"Gap"</formula>
    </cfRule>
    <cfRule type="cellIs" dxfId="39" priority="12" operator="equal">
      <formula>"Meets target"</formula>
    </cfRule>
    <cfRule type="cellIs" dxfId="38" priority="13" operator="equal">
      <formula>"N/A"</formula>
    </cfRule>
  </conditionalFormatting>
  <conditionalFormatting sqref="W5:W64">
    <cfRule type="cellIs" dxfId="37" priority="2" operator="equal">
      <formula>"Low"</formula>
    </cfRule>
    <cfRule type="cellIs" dxfId="36" priority="3" operator="equal">
      <formula>"Medium"</formula>
    </cfRule>
    <cfRule type="cellIs" dxfId="35" priority="4" operator="equal">
      <formula>"High"</formula>
    </cfRule>
    <cfRule type="cellIs" dxfId="34" priority="5" operator="equal">
      <formula>"Critical"</formula>
    </cfRule>
  </conditionalFormatting>
  <conditionalFormatting sqref="Z5:Z64">
    <cfRule type="cellIs" dxfId="33" priority="6" operator="equal">
      <formula>"Low"</formula>
    </cfRule>
    <cfRule type="cellIs" dxfId="32" priority="7" operator="equal">
      <formula>"Medium"</formula>
    </cfRule>
    <cfRule type="cellIs" dxfId="31" priority="8" operator="equal">
      <formula>"High"</formula>
    </cfRule>
    <cfRule type="cellIs" dxfId="30" priority="9" operator="equal">
      <formula>"Critical"</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3">
        <x14:dataValidation type="list" allowBlank="1" showErrorMessage="1" error="Choose a value from the list" xr:uid="{00000000-0002-0000-0300-000000000000}">
          <x14:formula1>
            <xm:f>Lists!$I$4:$I$5</xm:f>
          </x14:formula1>
          <x14:formula2>
            <xm:f>0</xm:f>
          </x14:formula2>
          <xm:sqref>J5:J64</xm:sqref>
        </x14:dataValidation>
        <x14:dataValidation type="list" allowBlank="1" showErrorMessage="1" error="Choose a value from the list" xr:uid="{00000000-0002-0000-0300-000001000000}">
          <x14:formula1>
            <xm:f>Lists!$N$4:$N$9</xm:f>
          </x14:formula1>
          <x14:formula2>
            <xm:f>0</xm:f>
          </x14:formula2>
          <xm:sqref>K5:L64</xm:sqref>
        </x14:dataValidation>
        <x14:dataValidation type="list" allowBlank="1" showErrorMessage="1" error="Choose a value from the list" xr:uid="{00000000-0002-0000-0300-000002000000}">
          <x14:formula1>
            <xm:f>Lists!$O$4:$O$8</xm:f>
          </x14:formula1>
          <x14:formula2>
            <xm:f>0</xm:f>
          </x14:formula2>
          <xm:sqref>R5:S64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261"/>
  <sheetViews>
    <sheetView showGridLines="0" zoomScaleNormal="100" workbookViewId="0">
      <pane xSplit="4" ySplit="4" topLeftCell="E64" activePane="bottomRight" state="frozen"/>
      <selection pane="topRight" activeCell="E1" sqref="E1"/>
      <selection pane="bottomLeft" activeCell="A5" sqref="A5"/>
      <selection pane="bottomRight"/>
    </sheetView>
  </sheetViews>
  <sheetFormatPr defaultColWidth="8.6328125" defaultRowHeight="14.5" x14ac:dyDescent="0.35"/>
  <cols>
    <col min="1" max="1" width="22" customWidth="1"/>
    <col min="2" max="2" width="14" customWidth="1"/>
    <col min="3" max="3" width="40" customWidth="1"/>
    <col min="4" max="4" width="60" customWidth="1"/>
    <col min="5" max="5" width="14" customWidth="1"/>
    <col min="6" max="6" width="16" customWidth="1"/>
    <col min="7" max="7" width="14" customWidth="1"/>
    <col min="8" max="8" width="16" customWidth="1"/>
    <col min="9" max="9" width="36" customWidth="1"/>
  </cols>
  <sheetData>
    <row r="1" spans="1:9" ht="20" x14ac:dyDescent="0.4">
      <c r="A1" s="8" t="s">
        <v>366</v>
      </c>
    </row>
    <row r="2" spans="1:9" x14ac:dyDescent="0.35">
      <c r="A2" s="6" t="s">
        <v>367</v>
      </c>
    </row>
    <row r="4" spans="1:9" ht="31.5" customHeight="1" x14ac:dyDescent="0.35">
      <c r="A4" s="11" t="s">
        <v>368</v>
      </c>
      <c r="B4" s="11" t="s">
        <v>134</v>
      </c>
      <c r="C4" s="11" t="s">
        <v>164</v>
      </c>
      <c r="D4" s="11" t="s">
        <v>369</v>
      </c>
      <c r="E4" s="11" t="s">
        <v>370</v>
      </c>
      <c r="F4" s="11" t="s">
        <v>94</v>
      </c>
      <c r="G4" s="11" t="s">
        <v>371</v>
      </c>
      <c r="H4" s="11" t="s">
        <v>372</v>
      </c>
      <c r="I4" s="11" t="s">
        <v>52</v>
      </c>
    </row>
    <row r="5" spans="1:9" ht="25" x14ac:dyDescent="0.35">
      <c r="A5" s="17" t="s">
        <v>373</v>
      </c>
      <c r="B5" s="12" t="s">
        <v>185</v>
      </c>
      <c r="C5" s="12" t="s">
        <v>187</v>
      </c>
      <c r="D5" s="12" t="s">
        <v>374</v>
      </c>
      <c r="E5" s="41"/>
      <c r="F5" s="13" t="s">
        <v>375</v>
      </c>
      <c r="G5" s="41"/>
      <c r="H5" s="13"/>
      <c r="I5" s="10"/>
    </row>
    <row r="6" spans="1:9" ht="25" x14ac:dyDescent="0.35">
      <c r="A6" s="17" t="s">
        <v>376</v>
      </c>
      <c r="B6" s="12" t="s">
        <v>185</v>
      </c>
      <c r="C6" s="12" t="s">
        <v>187</v>
      </c>
      <c r="D6" s="12" t="s">
        <v>377</v>
      </c>
      <c r="E6" s="41"/>
      <c r="F6" s="13" t="s">
        <v>375</v>
      </c>
      <c r="G6" s="41"/>
      <c r="H6" s="13"/>
      <c r="I6" s="10"/>
    </row>
    <row r="7" spans="1:9" ht="25" x14ac:dyDescent="0.35">
      <c r="A7" s="17" t="s">
        <v>378</v>
      </c>
      <c r="B7" s="12" t="s">
        <v>185</v>
      </c>
      <c r="C7" s="12" t="s">
        <v>187</v>
      </c>
      <c r="D7" s="12" t="s">
        <v>379</v>
      </c>
      <c r="E7" s="41"/>
      <c r="F7" s="13" t="s">
        <v>375</v>
      </c>
      <c r="G7" s="41"/>
      <c r="H7" s="13"/>
      <c r="I7" s="10"/>
    </row>
    <row r="8" spans="1:9" ht="25" x14ac:dyDescent="0.35">
      <c r="A8" s="17" t="s">
        <v>380</v>
      </c>
      <c r="B8" s="12" t="s">
        <v>185</v>
      </c>
      <c r="C8" s="12" t="s">
        <v>187</v>
      </c>
      <c r="D8" s="12" t="s">
        <v>381</v>
      </c>
      <c r="E8" s="41"/>
      <c r="F8" s="13" t="s">
        <v>375</v>
      </c>
      <c r="G8" s="41"/>
      <c r="H8" s="13"/>
      <c r="I8" s="10"/>
    </row>
    <row r="9" spans="1:9" ht="25" x14ac:dyDescent="0.35">
      <c r="A9" s="17" t="s">
        <v>382</v>
      </c>
      <c r="B9" s="12" t="s">
        <v>185</v>
      </c>
      <c r="C9" s="12" t="s">
        <v>187</v>
      </c>
      <c r="D9" s="12" t="s">
        <v>383</v>
      </c>
      <c r="E9" s="41"/>
      <c r="F9" s="13" t="s">
        <v>375</v>
      </c>
      <c r="G9" s="41"/>
      <c r="H9" s="13"/>
      <c r="I9" s="10"/>
    </row>
    <row r="10" spans="1:9" ht="25" x14ac:dyDescent="0.35">
      <c r="A10" s="17" t="s">
        <v>384</v>
      </c>
      <c r="B10" s="12" t="s">
        <v>185</v>
      </c>
      <c r="C10" s="12" t="s">
        <v>187</v>
      </c>
      <c r="D10" s="12" t="s">
        <v>385</v>
      </c>
      <c r="E10" s="41"/>
      <c r="F10" s="13" t="s">
        <v>375</v>
      </c>
      <c r="G10" s="41"/>
      <c r="H10" s="13"/>
      <c r="I10" s="10"/>
    </row>
    <row r="11" spans="1:9" ht="25" x14ac:dyDescent="0.35">
      <c r="A11" s="17" t="s">
        <v>386</v>
      </c>
      <c r="B11" s="12" t="s">
        <v>189</v>
      </c>
      <c r="C11" s="12" t="s">
        <v>190</v>
      </c>
      <c r="D11" s="12" t="s">
        <v>387</v>
      </c>
      <c r="E11" s="41"/>
      <c r="F11" s="13" t="s">
        <v>375</v>
      </c>
      <c r="G11" s="41"/>
      <c r="H11" s="13"/>
      <c r="I11" s="10"/>
    </row>
    <row r="12" spans="1:9" ht="25" x14ac:dyDescent="0.35">
      <c r="A12" s="17" t="s">
        <v>388</v>
      </c>
      <c r="B12" s="12" t="s">
        <v>189</v>
      </c>
      <c r="C12" s="12" t="s">
        <v>190</v>
      </c>
      <c r="D12" s="12" t="s">
        <v>389</v>
      </c>
      <c r="E12" s="41"/>
      <c r="F12" s="13" t="s">
        <v>375</v>
      </c>
      <c r="G12" s="41"/>
      <c r="H12" s="13"/>
      <c r="I12" s="10"/>
    </row>
    <row r="13" spans="1:9" ht="25" x14ac:dyDescent="0.35">
      <c r="A13" s="17" t="s">
        <v>390</v>
      </c>
      <c r="B13" s="12" t="s">
        <v>189</v>
      </c>
      <c r="C13" s="12" t="s">
        <v>190</v>
      </c>
      <c r="D13" s="12" t="s">
        <v>391</v>
      </c>
      <c r="E13" s="41"/>
      <c r="F13" s="13" t="s">
        <v>375</v>
      </c>
      <c r="G13" s="41"/>
      <c r="H13" s="13"/>
      <c r="I13" s="10"/>
    </row>
    <row r="14" spans="1:9" ht="25" x14ac:dyDescent="0.35">
      <c r="A14" s="17" t="s">
        <v>392</v>
      </c>
      <c r="B14" s="12" t="s">
        <v>189</v>
      </c>
      <c r="C14" s="12" t="s">
        <v>190</v>
      </c>
      <c r="D14" s="12" t="s">
        <v>393</v>
      </c>
      <c r="E14" s="41"/>
      <c r="F14" s="13" t="s">
        <v>375</v>
      </c>
      <c r="G14" s="41"/>
      <c r="H14" s="13"/>
      <c r="I14" s="10"/>
    </row>
    <row r="15" spans="1:9" ht="25" x14ac:dyDescent="0.35">
      <c r="A15" s="17" t="s">
        <v>394</v>
      </c>
      <c r="B15" s="12" t="s">
        <v>192</v>
      </c>
      <c r="C15" s="12" t="s">
        <v>193</v>
      </c>
      <c r="D15" s="12" t="s">
        <v>395</v>
      </c>
      <c r="E15" s="41"/>
      <c r="F15" s="13" t="s">
        <v>375</v>
      </c>
      <c r="G15" s="41"/>
      <c r="H15" s="13"/>
      <c r="I15" s="10"/>
    </row>
    <row r="16" spans="1:9" ht="25" x14ac:dyDescent="0.35">
      <c r="A16" s="17" t="s">
        <v>396</v>
      </c>
      <c r="B16" s="12" t="s">
        <v>192</v>
      </c>
      <c r="C16" s="12" t="s">
        <v>193</v>
      </c>
      <c r="D16" s="12" t="s">
        <v>397</v>
      </c>
      <c r="E16" s="41"/>
      <c r="F16" s="13" t="s">
        <v>375</v>
      </c>
      <c r="G16" s="41"/>
      <c r="H16" s="13"/>
      <c r="I16" s="10"/>
    </row>
    <row r="17" spans="1:9" ht="25" x14ac:dyDescent="0.35">
      <c r="A17" s="17" t="s">
        <v>398</v>
      </c>
      <c r="B17" s="12" t="s">
        <v>192</v>
      </c>
      <c r="C17" s="12" t="s">
        <v>193</v>
      </c>
      <c r="D17" s="12" t="s">
        <v>399</v>
      </c>
      <c r="E17" s="41"/>
      <c r="F17" s="13" t="s">
        <v>375</v>
      </c>
      <c r="G17" s="41"/>
      <c r="H17" s="13"/>
      <c r="I17" s="10"/>
    </row>
    <row r="18" spans="1:9" ht="25" x14ac:dyDescent="0.35">
      <c r="A18" s="17" t="s">
        <v>400</v>
      </c>
      <c r="B18" s="12" t="s">
        <v>192</v>
      </c>
      <c r="C18" s="12" t="s">
        <v>193</v>
      </c>
      <c r="D18" s="12" t="s">
        <v>401</v>
      </c>
      <c r="E18" s="41"/>
      <c r="F18" s="13" t="s">
        <v>375</v>
      </c>
      <c r="G18" s="41"/>
      <c r="H18" s="13"/>
      <c r="I18" s="10"/>
    </row>
    <row r="19" spans="1:9" ht="25" x14ac:dyDescent="0.35">
      <c r="A19" s="17" t="s">
        <v>402</v>
      </c>
      <c r="B19" s="12" t="s">
        <v>195</v>
      </c>
      <c r="C19" s="12" t="s">
        <v>196</v>
      </c>
      <c r="D19" s="12" t="s">
        <v>403</v>
      </c>
      <c r="E19" s="41"/>
      <c r="F19" s="13" t="s">
        <v>375</v>
      </c>
      <c r="G19" s="41"/>
      <c r="H19" s="13"/>
      <c r="I19" s="10"/>
    </row>
    <row r="20" spans="1:9" ht="25" x14ac:dyDescent="0.35">
      <c r="A20" s="17" t="s">
        <v>404</v>
      </c>
      <c r="B20" s="12" t="s">
        <v>195</v>
      </c>
      <c r="C20" s="12" t="s">
        <v>196</v>
      </c>
      <c r="D20" s="12" t="s">
        <v>405</v>
      </c>
      <c r="E20" s="41"/>
      <c r="F20" s="13" t="s">
        <v>375</v>
      </c>
      <c r="G20" s="41"/>
      <c r="H20" s="13"/>
      <c r="I20" s="10"/>
    </row>
    <row r="21" spans="1:9" ht="25" x14ac:dyDescent="0.35">
      <c r="A21" s="17" t="s">
        <v>406</v>
      </c>
      <c r="B21" s="12" t="s">
        <v>195</v>
      </c>
      <c r="C21" s="12" t="s">
        <v>196</v>
      </c>
      <c r="D21" s="12" t="s">
        <v>407</v>
      </c>
      <c r="E21" s="41"/>
      <c r="F21" s="13" t="s">
        <v>375</v>
      </c>
      <c r="G21" s="41"/>
      <c r="H21" s="13"/>
      <c r="I21" s="10"/>
    </row>
    <row r="22" spans="1:9" ht="25" x14ac:dyDescent="0.35">
      <c r="A22" s="17" t="s">
        <v>408</v>
      </c>
      <c r="B22" s="12" t="s">
        <v>195</v>
      </c>
      <c r="C22" s="12" t="s">
        <v>196</v>
      </c>
      <c r="D22" s="12" t="s">
        <v>409</v>
      </c>
      <c r="E22" s="41"/>
      <c r="F22" s="13" t="s">
        <v>375</v>
      </c>
      <c r="G22" s="41"/>
      <c r="H22" s="13"/>
      <c r="I22" s="10"/>
    </row>
    <row r="23" spans="1:9" ht="25" x14ac:dyDescent="0.35">
      <c r="A23" s="17" t="s">
        <v>410</v>
      </c>
      <c r="B23" s="12" t="s">
        <v>195</v>
      </c>
      <c r="C23" s="12" t="s">
        <v>196</v>
      </c>
      <c r="D23" s="12" t="s">
        <v>411</v>
      </c>
      <c r="E23" s="41"/>
      <c r="F23" s="13" t="s">
        <v>375</v>
      </c>
      <c r="G23" s="41"/>
      <c r="H23" s="13"/>
      <c r="I23" s="10"/>
    </row>
    <row r="24" spans="1:9" ht="25" x14ac:dyDescent="0.35">
      <c r="A24" s="17" t="s">
        <v>412</v>
      </c>
      <c r="B24" s="12" t="s">
        <v>198</v>
      </c>
      <c r="C24" s="12" t="s">
        <v>199</v>
      </c>
      <c r="D24" s="12" t="s">
        <v>413</v>
      </c>
      <c r="E24" s="41"/>
      <c r="F24" s="13" t="s">
        <v>375</v>
      </c>
      <c r="G24" s="41"/>
      <c r="H24" s="13"/>
      <c r="I24" s="10"/>
    </row>
    <row r="25" spans="1:9" ht="25" x14ac:dyDescent="0.35">
      <c r="A25" s="17" t="s">
        <v>414</v>
      </c>
      <c r="B25" s="12" t="s">
        <v>198</v>
      </c>
      <c r="C25" s="12" t="s">
        <v>199</v>
      </c>
      <c r="D25" s="12" t="s">
        <v>415</v>
      </c>
      <c r="E25" s="41"/>
      <c r="F25" s="13" t="s">
        <v>375</v>
      </c>
      <c r="G25" s="41"/>
      <c r="H25" s="13"/>
      <c r="I25" s="10"/>
    </row>
    <row r="26" spans="1:9" ht="25" x14ac:dyDescent="0.35">
      <c r="A26" s="17" t="s">
        <v>416</v>
      </c>
      <c r="B26" s="12" t="s">
        <v>198</v>
      </c>
      <c r="C26" s="12" t="s">
        <v>199</v>
      </c>
      <c r="D26" s="12" t="s">
        <v>417</v>
      </c>
      <c r="E26" s="41"/>
      <c r="F26" s="13" t="s">
        <v>375</v>
      </c>
      <c r="G26" s="41"/>
      <c r="H26" s="13"/>
      <c r="I26" s="10"/>
    </row>
    <row r="27" spans="1:9" ht="25" x14ac:dyDescent="0.35">
      <c r="A27" s="17" t="s">
        <v>418</v>
      </c>
      <c r="B27" s="12" t="s">
        <v>198</v>
      </c>
      <c r="C27" s="12" t="s">
        <v>199</v>
      </c>
      <c r="D27" s="12" t="s">
        <v>419</v>
      </c>
      <c r="E27" s="41"/>
      <c r="F27" s="13" t="s">
        <v>375</v>
      </c>
      <c r="G27" s="41"/>
      <c r="H27" s="13"/>
      <c r="I27" s="10"/>
    </row>
    <row r="28" spans="1:9" ht="25" x14ac:dyDescent="0.35">
      <c r="A28" s="17" t="s">
        <v>420</v>
      </c>
      <c r="B28" s="12" t="s">
        <v>201</v>
      </c>
      <c r="C28" s="12" t="s">
        <v>202</v>
      </c>
      <c r="D28" s="12" t="s">
        <v>421</v>
      </c>
      <c r="E28" s="41"/>
      <c r="F28" s="13" t="s">
        <v>375</v>
      </c>
      <c r="G28" s="41"/>
      <c r="H28" s="13"/>
      <c r="I28" s="10"/>
    </row>
    <row r="29" spans="1:9" ht="25" x14ac:dyDescent="0.35">
      <c r="A29" s="17" t="s">
        <v>422</v>
      </c>
      <c r="B29" s="12" t="s">
        <v>201</v>
      </c>
      <c r="C29" s="12" t="s">
        <v>202</v>
      </c>
      <c r="D29" s="12" t="s">
        <v>423</v>
      </c>
      <c r="E29" s="41"/>
      <c r="F29" s="13" t="s">
        <v>375</v>
      </c>
      <c r="G29" s="41"/>
      <c r="H29" s="13"/>
      <c r="I29" s="10"/>
    </row>
    <row r="30" spans="1:9" ht="25" x14ac:dyDescent="0.35">
      <c r="A30" s="17" t="s">
        <v>424</v>
      </c>
      <c r="B30" s="12" t="s">
        <v>201</v>
      </c>
      <c r="C30" s="12" t="s">
        <v>202</v>
      </c>
      <c r="D30" s="12" t="s">
        <v>425</v>
      </c>
      <c r="E30" s="41"/>
      <c r="F30" s="13" t="s">
        <v>375</v>
      </c>
      <c r="G30" s="41"/>
      <c r="H30" s="13"/>
      <c r="I30" s="10"/>
    </row>
    <row r="31" spans="1:9" ht="25" x14ac:dyDescent="0.35">
      <c r="A31" s="17" t="s">
        <v>426</v>
      </c>
      <c r="B31" s="12" t="s">
        <v>201</v>
      </c>
      <c r="C31" s="12" t="s">
        <v>202</v>
      </c>
      <c r="D31" s="12" t="s">
        <v>427</v>
      </c>
      <c r="E31" s="41"/>
      <c r="F31" s="13" t="s">
        <v>375</v>
      </c>
      <c r="G31" s="41"/>
      <c r="H31" s="13"/>
      <c r="I31" s="10"/>
    </row>
    <row r="32" spans="1:9" ht="25" x14ac:dyDescent="0.35">
      <c r="A32" s="17" t="s">
        <v>428</v>
      </c>
      <c r="B32" s="12" t="s">
        <v>204</v>
      </c>
      <c r="C32" s="12" t="s">
        <v>205</v>
      </c>
      <c r="D32" s="12" t="s">
        <v>429</v>
      </c>
      <c r="E32" s="41"/>
      <c r="F32" s="13" t="s">
        <v>375</v>
      </c>
      <c r="G32" s="41"/>
      <c r="H32" s="13"/>
      <c r="I32" s="10"/>
    </row>
    <row r="33" spans="1:9" ht="25" x14ac:dyDescent="0.35">
      <c r="A33" s="17" t="s">
        <v>430</v>
      </c>
      <c r="B33" s="12" t="s">
        <v>204</v>
      </c>
      <c r="C33" s="12" t="s">
        <v>205</v>
      </c>
      <c r="D33" s="12" t="s">
        <v>431</v>
      </c>
      <c r="E33" s="41"/>
      <c r="F33" s="13" t="s">
        <v>375</v>
      </c>
      <c r="G33" s="41"/>
      <c r="H33" s="13"/>
      <c r="I33" s="10"/>
    </row>
    <row r="34" spans="1:9" ht="25" x14ac:dyDescent="0.35">
      <c r="A34" s="17" t="s">
        <v>432</v>
      </c>
      <c r="B34" s="12" t="s">
        <v>204</v>
      </c>
      <c r="C34" s="12" t="s">
        <v>205</v>
      </c>
      <c r="D34" s="12" t="s">
        <v>433</v>
      </c>
      <c r="E34" s="41"/>
      <c r="F34" s="13" t="s">
        <v>375</v>
      </c>
      <c r="G34" s="41"/>
      <c r="H34" s="13"/>
      <c r="I34" s="10"/>
    </row>
    <row r="35" spans="1:9" ht="25" x14ac:dyDescent="0.35">
      <c r="A35" s="17" t="s">
        <v>434</v>
      </c>
      <c r="B35" s="12" t="s">
        <v>204</v>
      </c>
      <c r="C35" s="12" t="s">
        <v>205</v>
      </c>
      <c r="D35" s="12" t="s">
        <v>435</v>
      </c>
      <c r="E35" s="41"/>
      <c r="F35" s="13" t="s">
        <v>375</v>
      </c>
      <c r="G35" s="41"/>
      <c r="H35" s="13"/>
      <c r="I35" s="10"/>
    </row>
    <row r="36" spans="1:9" ht="25" x14ac:dyDescent="0.35">
      <c r="A36" s="17" t="s">
        <v>436</v>
      </c>
      <c r="B36" s="12" t="s">
        <v>207</v>
      </c>
      <c r="C36" s="12" t="s">
        <v>208</v>
      </c>
      <c r="D36" s="12" t="s">
        <v>437</v>
      </c>
      <c r="E36" s="41"/>
      <c r="F36" s="13" t="s">
        <v>375</v>
      </c>
      <c r="G36" s="41"/>
      <c r="H36" s="13"/>
      <c r="I36" s="10"/>
    </row>
    <row r="37" spans="1:9" ht="25" x14ac:dyDescent="0.35">
      <c r="A37" s="17" t="s">
        <v>438</v>
      </c>
      <c r="B37" s="12" t="s">
        <v>207</v>
      </c>
      <c r="C37" s="12" t="s">
        <v>208</v>
      </c>
      <c r="D37" s="12" t="s">
        <v>439</v>
      </c>
      <c r="E37" s="41"/>
      <c r="F37" s="13" t="s">
        <v>375</v>
      </c>
      <c r="G37" s="41"/>
      <c r="H37" s="13"/>
      <c r="I37" s="10"/>
    </row>
    <row r="38" spans="1:9" ht="25" x14ac:dyDescent="0.35">
      <c r="A38" s="17" t="s">
        <v>440</v>
      </c>
      <c r="B38" s="12" t="s">
        <v>207</v>
      </c>
      <c r="C38" s="12" t="s">
        <v>208</v>
      </c>
      <c r="D38" s="12" t="s">
        <v>441</v>
      </c>
      <c r="E38" s="41"/>
      <c r="F38" s="13" t="s">
        <v>375</v>
      </c>
      <c r="G38" s="41"/>
      <c r="H38" s="13"/>
      <c r="I38" s="10"/>
    </row>
    <row r="39" spans="1:9" ht="25" x14ac:dyDescent="0.35">
      <c r="A39" s="17" t="s">
        <v>442</v>
      </c>
      <c r="B39" s="12" t="s">
        <v>207</v>
      </c>
      <c r="C39" s="12" t="s">
        <v>208</v>
      </c>
      <c r="D39" s="12" t="s">
        <v>443</v>
      </c>
      <c r="E39" s="41"/>
      <c r="F39" s="13" t="s">
        <v>375</v>
      </c>
      <c r="G39" s="41"/>
      <c r="H39" s="13"/>
      <c r="I39" s="10"/>
    </row>
    <row r="40" spans="1:9" x14ac:dyDescent="0.35">
      <c r="A40" s="17" t="s">
        <v>444</v>
      </c>
      <c r="B40" s="12" t="s">
        <v>210</v>
      </c>
      <c r="C40" s="12" t="s">
        <v>211</v>
      </c>
      <c r="D40" s="12" t="s">
        <v>445</v>
      </c>
      <c r="E40" s="41"/>
      <c r="F40" s="13" t="s">
        <v>375</v>
      </c>
      <c r="G40" s="41"/>
      <c r="H40" s="13"/>
      <c r="I40" s="10"/>
    </row>
    <row r="41" spans="1:9" x14ac:dyDescent="0.35">
      <c r="A41" s="17" t="s">
        <v>446</v>
      </c>
      <c r="B41" s="12" t="s">
        <v>210</v>
      </c>
      <c r="C41" s="12" t="s">
        <v>211</v>
      </c>
      <c r="D41" s="12" t="s">
        <v>447</v>
      </c>
      <c r="E41" s="41"/>
      <c r="F41" s="13" t="s">
        <v>375</v>
      </c>
      <c r="G41" s="41"/>
      <c r="H41" s="13"/>
      <c r="I41" s="10"/>
    </row>
    <row r="42" spans="1:9" x14ac:dyDescent="0.35">
      <c r="A42" s="17" t="s">
        <v>448</v>
      </c>
      <c r="B42" s="12" t="s">
        <v>210</v>
      </c>
      <c r="C42" s="12" t="s">
        <v>211</v>
      </c>
      <c r="D42" s="12" t="s">
        <v>449</v>
      </c>
      <c r="E42" s="41"/>
      <c r="F42" s="13" t="s">
        <v>375</v>
      </c>
      <c r="G42" s="41"/>
      <c r="H42" s="13"/>
      <c r="I42" s="10"/>
    </row>
    <row r="43" spans="1:9" x14ac:dyDescent="0.35">
      <c r="A43" s="17" t="s">
        <v>450</v>
      </c>
      <c r="B43" s="12" t="s">
        <v>210</v>
      </c>
      <c r="C43" s="12" t="s">
        <v>211</v>
      </c>
      <c r="D43" s="12" t="s">
        <v>443</v>
      </c>
      <c r="E43" s="41"/>
      <c r="F43" s="13" t="s">
        <v>375</v>
      </c>
      <c r="G43" s="41"/>
      <c r="H43" s="13"/>
      <c r="I43" s="10"/>
    </row>
    <row r="44" spans="1:9" ht="25" x14ac:dyDescent="0.35">
      <c r="A44" s="17" t="s">
        <v>451</v>
      </c>
      <c r="B44" s="12" t="s">
        <v>213</v>
      </c>
      <c r="C44" s="12" t="s">
        <v>214</v>
      </c>
      <c r="D44" s="12" t="s">
        <v>452</v>
      </c>
      <c r="E44" s="41"/>
      <c r="F44" s="13" t="s">
        <v>375</v>
      </c>
      <c r="G44" s="41"/>
      <c r="H44" s="13"/>
      <c r="I44" s="10"/>
    </row>
    <row r="45" spans="1:9" ht="25" x14ac:dyDescent="0.35">
      <c r="A45" s="17" t="s">
        <v>453</v>
      </c>
      <c r="B45" s="12" t="s">
        <v>213</v>
      </c>
      <c r="C45" s="12" t="s">
        <v>214</v>
      </c>
      <c r="D45" s="12" t="s">
        <v>454</v>
      </c>
      <c r="E45" s="41"/>
      <c r="F45" s="13" t="s">
        <v>375</v>
      </c>
      <c r="G45" s="41"/>
      <c r="H45" s="13"/>
      <c r="I45" s="10"/>
    </row>
    <row r="46" spans="1:9" ht="25" x14ac:dyDescent="0.35">
      <c r="A46" s="17" t="s">
        <v>455</v>
      </c>
      <c r="B46" s="12" t="s">
        <v>213</v>
      </c>
      <c r="C46" s="12" t="s">
        <v>214</v>
      </c>
      <c r="D46" s="12" t="s">
        <v>456</v>
      </c>
      <c r="E46" s="41"/>
      <c r="F46" s="13" t="s">
        <v>375</v>
      </c>
      <c r="G46" s="41"/>
      <c r="H46" s="13"/>
      <c r="I46" s="10"/>
    </row>
    <row r="47" spans="1:9" ht="25" x14ac:dyDescent="0.35">
      <c r="A47" s="17" t="s">
        <v>457</v>
      </c>
      <c r="B47" s="12" t="s">
        <v>213</v>
      </c>
      <c r="C47" s="12" t="s">
        <v>214</v>
      </c>
      <c r="D47" s="12" t="s">
        <v>458</v>
      </c>
      <c r="E47" s="41"/>
      <c r="F47" s="13" t="s">
        <v>375</v>
      </c>
      <c r="G47" s="41"/>
      <c r="H47" s="13"/>
      <c r="I47" s="10"/>
    </row>
    <row r="48" spans="1:9" ht="25" x14ac:dyDescent="0.35">
      <c r="A48" s="17" t="s">
        <v>459</v>
      </c>
      <c r="B48" s="12" t="s">
        <v>213</v>
      </c>
      <c r="C48" s="12" t="s">
        <v>214</v>
      </c>
      <c r="D48" s="12" t="s">
        <v>460</v>
      </c>
      <c r="E48" s="41"/>
      <c r="F48" s="13" t="s">
        <v>375</v>
      </c>
      <c r="G48" s="41"/>
      <c r="H48" s="13"/>
      <c r="I48" s="10"/>
    </row>
    <row r="49" spans="1:9" ht="25" x14ac:dyDescent="0.35">
      <c r="A49" s="17" t="s">
        <v>461</v>
      </c>
      <c r="B49" s="12" t="s">
        <v>216</v>
      </c>
      <c r="C49" s="12" t="s">
        <v>217</v>
      </c>
      <c r="D49" s="12" t="s">
        <v>462</v>
      </c>
      <c r="E49" s="41"/>
      <c r="F49" s="13" t="s">
        <v>375</v>
      </c>
      <c r="G49" s="41"/>
      <c r="H49" s="13"/>
      <c r="I49" s="10"/>
    </row>
    <row r="50" spans="1:9" ht="25" x14ac:dyDescent="0.35">
      <c r="A50" s="17" t="s">
        <v>463</v>
      </c>
      <c r="B50" s="12" t="s">
        <v>216</v>
      </c>
      <c r="C50" s="12" t="s">
        <v>217</v>
      </c>
      <c r="D50" s="12" t="s">
        <v>464</v>
      </c>
      <c r="E50" s="41"/>
      <c r="F50" s="13" t="s">
        <v>375</v>
      </c>
      <c r="G50" s="41"/>
      <c r="H50" s="13"/>
      <c r="I50" s="10"/>
    </row>
    <row r="51" spans="1:9" ht="25" x14ac:dyDescent="0.35">
      <c r="A51" s="17" t="s">
        <v>465</v>
      </c>
      <c r="B51" s="12" t="s">
        <v>216</v>
      </c>
      <c r="C51" s="12" t="s">
        <v>217</v>
      </c>
      <c r="D51" s="12" t="s">
        <v>466</v>
      </c>
      <c r="E51" s="41"/>
      <c r="F51" s="13" t="s">
        <v>375</v>
      </c>
      <c r="G51" s="41"/>
      <c r="H51" s="13"/>
      <c r="I51" s="10"/>
    </row>
    <row r="52" spans="1:9" ht="25" x14ac:dyDescent="0.35">
      <c r="A52" s="17" t="s">
        <v>467</v>
      </c>
      <c r="B52" s="12" t="s">
        <v>216</v>
      </c>
      <c r="C52" s="12" t="s">
        <v>217</v>
      </c>
      <c r="D52" s="12" t="s">
        <v>468</v>
      </c>
      <c r="E52" s="41"/>
      <c r="F52" s="13" t="s">
        <v>375</v>
      </c>
      <c r="G52" s="41"/>
      <c r="H52" s="13"/>
      <c r="I52" s="10"/>
    </row>
    <row r="53" spans="1:9" ht="25" x14ac:dyDescent="0.35">
      <c r="A53" s="17" t="s">
        <v>469</v>
      </c>
      <c r="B53" s="12" t="s">
        <v>219</v>
      </c>
      <c r="C53" s="12" t="s">
        <v>220</v>
      </c>
      <c r="D53" s="12" t="s">
        <v>470</v>
      </c>
      <c r="E53" s="41"/>
      <c r="F53" s="13" t="s">
        <v>375</v>
      </c>
      <c r="G53" s="41"/>
      <c r="H53" s="13"/>
      <c r="I53" s="10"/>
    </row>
    <row r="54" spans="1:9" ht="25" x14ac:dyDescent="0.35">
      <c r="A54" s="17" t="s">
        <v>471</v>
      </c>
      <c r="B54" s="12" t="s">
        <v>219</v>
      </c>
      <c r="C54" s="12" t="s">
        <v>220</v>
      </c>
      <c r="D54" s="12" t="s">
        <v>472</v>
      </c>
      <c r="E54" s="41"/>
      <c r="F54" s="13" t="s">
        <v>375</v>
      </c>
      <c r="G54" s="41"/>
      <c r="H54" s="13"/>
      <c r="I54" s="10"/>
    </row>
    <row r="55" spans="1:9" ht="25" x14ac:dyDescent="0.35">
      <c r="A55" s="17" t="s">
        <v>473</v>
      </c>
      <c r="B55" s="12" t="s">
        <v>219</v>
      </c>
      <c r="C55" s="12" t="s">
        <v>220</v>
      </c>
      <c r="D55" s="12" t="s">
        <v>474</v>
      </c>
      <c r="E55" s="41"/>
      <c r="F55" s="13" t="s">
        <v>375</v>
      </c>
      <c r="G55" s="41"/>
      <c r="H55" s="13"/>
      <c r="I55" s="10"/>
    </row>
    <row r="56" spans="1:9" ht="25" x14ac:dyDescent="0.35">
      <c r="A56" s="17" t="s">
        <v>475</v>
      </c>
      <c r="B56" s="12" t="s">
        <v>219</v>
      </c>
      <c r="C56" s="12" t="s">
        <v>220</v>
      </c>
      <c r="D56" s="12" t="s">
        <v>476</v>
      </c>
      <c r="E56" s="41"/>
      <c r="F56" s="13" t="s">
        <v>375</v>
      </c>
      <c r="G56" s="41"/>
      <c r="H56" s="13"/>
      <c r="I56" s="10"/>
    </row>
    <row r="57" spans="1:9" ht="25" x14ac:dyDescent="0.35">
      <c r="A57" s="17" t="s">
        <v>477</v>
      </c>
      <c r="B57" s="12" t="s">
        <v>219</v>
      </c>
      <c r="C57" s="12" t="s">
        <v>220</v>
      </c>
      <c r="D57" s="12" t="s">
        <v>478</v>
      </c>
      <c r="E57" s="41"/>
      <c r="F57" s="13" t="s">
        <v>375</v>
      </c>
      <c r="G57" s="41"/>
      <c r="H57" s="13"/>
      <c r="I57" s="10"/>
    </row>
    <row r="58" spans="1:9" ht="25" x14ac:dyDescent="0.35">
      <c r="A58" s="17" t="s">
        <v>479</v>
      </c>
      <c r="B58" s="12" t="s">
        <v>222</v>
      </c>
      <c r="C58" s="12" t="s">
        <v>223</v>
      </c>
      <c r="D58" s="12" t="s">
        <v>480</v>
      </c>
      <c r="E58" s="41"/>
      <c r="F58" s="13" t="s">
        <v>375</v>
      </c>
      <c r="G58" s="41"/>
      <c r="H58" s="13"/>
      <c r="I58" s="10"/>
    </row>
    <row r="59" spans="1:9" ht="25" x14ac:dyDescent="0.35">
      <c r="A59" s="17" t="s">
        <v>481</v>
      </c>
      <c r="B59" s="12" t="s">
        <v>222</v>
      </c>
      <c r="C59" s="12" t="s">
        <v>223</v>
      </c>
      <c r="D59" s="12" t="s">
        <v>482</v>
      </c>
      <c r="E59" s="41"/>
      <c r="F59" s="13" t="s">
        <v>375</v>
      </c>
      <c r="G59" s="41"/>
      <c r="H59" s="13"/>
      <c r="I59" s="10"/>
    </row>
    <row r="60" spans="1:9" ht="25" x14ac:dyDescent="0.35">
      <c r="A60" s="17" t="s">
        <v>483</v>
      </c>
      <c r="B60" s="12" t="s">
        <v>222</v>
      </c>
      <c r="C60" s="12" t="s">
        <v>223</v>
      </c>
      <c r="D60" s="12" t="s">
        <v>484</v>
      </c>
      <c r="E60" s="41"/>
      <c r="F60" s="13" t="s">
        <v>375</v>
      </c>
      <c r="G60" s="41"/>
      <c r="H60" s="13"/>
      <c r="I60" s="10"/>
    </row>
    <row r="61" spans="1:9" ht="25" x14ac:dyDescent="0.35">
      <c r="A61" s="17" t="s">
        <v>485</v>
      </c>
      <c r="B61" s="12" t="s">
        <v>222</v>
      </c>
      <c r="C61" s="12" t="s">
        <v>223</v>
      </c>
      <c r="D61" s="12" t="s">
        <v>486</v>
      </c>
      <c r="E61" s="41"/>
      <c r="F61" s="13" t="s">
        <v>375</v>
      </c>
      <c r="G61" s="41"/>
      <c r="H61" s="13"/>
      <c r="I61" s="10"/>
    </row>
    <row r="62" spans="1:9" ht="25" x14ac:dyDescent="0.35">
      <c r="A62" s="17" t="s">
        <v>487</v>
      </c>
      <c r="B62" s="12" t="s">
        <v>225</v>
      </c>
      <c r="C62" s="12" t="s">
        <v>226</v>
      </c>
      <c r="D62" s="12" t="s">
        <v>488</v>
      </c>
      <c r="E62" s="41"/>
      <c r="F62" s="13" t="s">
        <v>375</v>
      </c>
      <c r="G62" s="41"/>
      <c r="H62" s="13"/>
      <c r="I62" s="10"/>
    </row>
    <row r="63" spans="1:9" ht="25" x14ac:dyDescent="0.35">
      <c r="A63" s="17" t="s">
        <v>489</v>
      </c>
      <c r="B63" s="12" t="s">
        <v>225</v>
      </c>
      <c r="C63" s="12" t="s">
        <v>226</v>
      </c>
      <c r="D63" s="12" t="s">
        <v>490</v>
      </c>
      <c r="E63" s="41"/>
      <c r="F63" s="13" t="s">
        <v>375</v>
      </c>
      <c r="G63" s="41"/>
      <c r="H63" s="13"/>
      <c r="I63" s="10"/>
    </row>
    <row r="64" spans="1:9" ht="25" x14ac:dyDescent="0.35">
      <c r="A64" s="17" t="s">
        <v>491</v>
      </c>
      <c r="B64" s="12" t="s">
        <v>225</v>
      </c>
      <c r="C64" s="12" t="s">
        <v>226</v>
      </c>
      <c r="D64" s="12" t="s">
        <v>492</v>
      </c>
      <c r="E64" s="41"/>
      <c r="F64" s="13" t="s">
        <v>375</v>
      </c>
      <c r="G64" s="41"/>
      <c r="H64" s="13"/>
      <c r="I64" s="10"/>
    </row>
    <row r="65" spans="1:9" ht="25" x14ac:dyDescent="0.35">
      <c r="A65" s="17" t="s">
        <v>493</v>
      </c>
      <c r="B65" s="12" t="s">
        <v>225</v>
      </c>
      <c r="C65" s="12" t="s">
        <v>226</v>
      </c>
      <c r="D65" s="12" t="s">
        <v>494</v>
      </c>
      <c r="E65" s="41"/>
      <c r="F65" s="13" t="s">
        <v>375</v>
      </c>
      <c r="G65" s="41"/>
      <c r="H65" s="13"/>
      <c r="I65" s="10"/>
    </row>
    <row r="66" spans="1:9" ht="25" x14ac:dyDescent="0.35">
      <c r="A66" s="17" t="s">
        <v>495</v>
      </c>
      <c r="B66" s="12" t="s">
        <v>228</v>
      </c>
      <c r="C66" s="12" t="s">
        <v>229</v>
      </c>
      <c r="D66" s="12" t="s">
        <v>496</v>
      </c>
      <c r="E66" s="41"/>
      <c r="F66" s="13" t="s">
        <v>375</v>
      </c>
      <c r="G66" s="41"/>
      <c r="H66" s="13"/>
      <c r="I66" s="10"/>
    </row>
    <row r="67" spans="1:9" ht="25" x14ac:dyDescent="0.35">
      <c r="A67" s="17" t="s">
        <v>497</v>
      </c>
      <c r="B67" s="12" t="s">
        <v>228</v>
      </c>
      <c r="C67" s="12" t="s">
        <v>229</v>
      </c>
      <c r="D67" s="12" t="s">
        <v>498</v>
      </c>
      <c r="E67" s="41"/>
      <c r="F67" s="13" t="s">
        <v>375</v>
      </c>
      <c r="G67" s="41"/>
      <c r="H67" s="13"/>
      <c r="I67" s="10"/>
    </row>
    <row r="68" spans="1:9" ht="25" x14ac:dyDescent="0.35">
      <c r="A68" s="17" t="s">
        <v>499</v>
      </c>
      <c r="B68" s="12" t="s">
        <v>228</v>
      </c>
      <c r="C68" s="12" t="s">
        <v>229</v>
      </c>
      <c r="D68" s="12" t="s">
        <v>500</v>
      </c>
      <c r="E68" s="41"/>
      <c r="F68" s="13" t="s">
        <v>375</v>
      </c>
      <c r="G68" s="41"/>
      <c r="H68" s="13"/>
      <c r="I68" s="10"/>
    </row>
    <row r="69" spans="1:9" ht="25" x14ac:dyDescent="0.35">
      <c r="A69" s="17" t="s">
        <v>501</v>
      </c>
      <c r="B69" s="12" t="s">
        <v>228</v>
      </c>
      <c r="C69" s="12" t="s">
        <v>229</v>
      </c>
      <c r="D69" s="12" t="s">
        <v>502</v>
      </c>
      <c r="E69" s="41"/>
      <c r="F69" s="13" t="s">
        <v>375</v>
      </c>
      <c r="G69" s="41"/>
      <c r="H69" s="13"/>
      <c r="I69" s="10"/>
    </row>
    <row r="70" spans="1:9" ht="25" x14ac:dyDescent="0.35">
      <c r="A70" s="17" t="s">
        <v>503</v>
      </c>
      <c r="B70" s="12" t="s">
        <v>231</v>
      </c>
      <c r="C70" s="12" t="s">
        <v>232</v>
      </c>
      <c r="D70" s="12" t="s">
        <v>504</v>
      </c>
      <c r="E70" s="41"/>
      <c r="F70" s="13" t="s">
        <v>375</v>
      </c>
      <c r="G70" s="41"/>
      <c r="H70" s="13"/>
      <c r="I70" s="10"/>
    </row>
    <row r="71" spans="1:9" ht="25" x14ac:dyDescent="0.35">
      <c r="A71" s="17" t="s">
        <v>505</v>
      </c>
      <c r="B71" s="12" t="s">
        <v>231</v>
      </c>
      <c r="C71" s="12" t="s">
        <v>232</v>
      </c>
      <c r="D71" s="12" t="s">
        <v>506</v>
      </c>
      <c r="E71" s="41"/>
      <c r="F71" s="13" t="s">
        <v>375</v>
      </c>
      <c r="G71" s="41"/>
      <c r="H71" s="13"/>
      <c r="I71" s="10"/>
    </row>
    <row r="72" spans="1:9" ht="25" x14ac:dyDescent="0.35">
      <c r="A72" s="17" t="s">
        <v>507</v>
      </c>
      <c r="B72" s="12" t="s">
        <v>231</v>
      </c>
      <c r="C72" s="12" t="s">
        <v>232</v>
      </c>
      <c r="D72" s="12" t="s">
        <v>508</v>
      </c>
      <c r="E72" s="41"/>
      <c r="F72" s="13" t="s">
        <v>375</v>
      </c>
      <c r="G72" s="41"/>
      <c r="H72" s="13"/>
      <c r="I72" s="10"/>
    </row>
    <row r="73" spans="1:9" ht="25" x14ac:dyDescent="0.35">
      <c r="A73" s="17" t="s">
        <v>509</v>
      </c>
      <c r="B73" s="12" t="s">
        <v>234</v>
      </c>
      <c r="C73" s="12" t="s">
        <v>235</v>
      </c>
      <c r="D73" s="12" t="s">
        <v>510</v>
      </c>
      <c r="E73" s="41"/>
      <c r="F73" s="13" t="s">
        <v>375</v>
      </c>
      <c r="G73" s="41"/>
      <c r="H73" s="13"/>
      <c r="I73" s="10"/>
    </row>
    <row r="74" spans="1:9" ht="25" x14ac:dyDescent="0.35">
      <c r="A74" s="17" t="s">
        <v>511</v>
      </c>
      <c r="B74" s="12" t="s">
        <v>234</v>
      </c>
      <c r="C74" s="12" t="s">
        <v>235</v>
      </c>
      <c r="D74" s="12" t="s">
        <v>512</v>
      </c>
      <c r="E74" s="41"/>
      <c r="F74" s="13" t="s">
        <v>375</v>
      </c>
      <c r="G74" s="41"/>
      <c r="H74" s="13"/>
      <c r="I74" s="10"/>
    </row>
    <row r="75" spans="1:9" ht="25" x14ac:dyDescent="0.35">
      <c r="A75" s="17" t="s">
        <v>513</v>
      </c>
      <c r="B75" s="12" t="s">
        <v>234</v>
      </c>
      <c r="C75" s="12" t="s">
        <v>235</v>
      </c>
      <c r="D75" s="12" t="s">
        <v>514</v>
      </c>
      <c r="E75" s="41"/>
      <c r="F75" s="13" t="s">
        <v>375</v>
      </c>
      <c r="G75" s="41"/>
      <c r="H75" s="13"/>
      <c r="I75" s="10"/>
    </row>
    <row r="76" spans="1:9" ht="25" x14ac:dyDescent="0.35">
      <c r="A76" s="17" t="s">
        <v>515</v>
      </c>
      <c r="B76" s="12" t="s">
        <v>234</v>
      </c>
      <c r="C76" s="12" t="s">
        <v>235</v>
      </c>
      <c r="D76" s="12" t="s">
        <v>516</v>
      </c>
      <c r="E76" s="41"/>
      <c r="F76" s="13" t="s">
        <v>375</v>
      </c>
      <c r="G76" s="41"/>
      <c r="H76" s="13"/>
      <c r="I76" s="10"/>
    </row>
    <row r="77" spans="1:9" ht="25" x14ac:dyDescent="0.35">
      <c r="A77" s="17" t="s">
        <v>517</v>
      </c>
      <c r="B77" s="12" t="s">
        <v>237</v>
      </c>
      <c r="C77" s="12" t="s">
        <v>238</v>
      </c>
      <c r="D77" s="12" t="s">
        <v>518</v>
      </c>
      <c r="E77" s="41"/>
      <c r="F77" s="13" t="s">
        <v>375</v>
      </c>
      <c r="G77" s="41"/>
      <c r="H77" s="13"/>
      <c r="I77" s="10"/>
    </row>
    <row r="78" spans="1:9" ht="25" x14ac:dyDescent="0.35">
      <c r="A78" s="17" t="s">
        <v>519</v>
      </c>
      <c r="B78" s="12" t="s">
        <v>237</v>
      </c>
      <c r="C78" s="12" t="s">
        <v>238</v>
      </c>
      <c r="D78" s="12" t="s">
        <v>520</v>
      </c>
      <c r="E78" s="41"/>
      <c r="F78" s="13" t="s">
        <v>375</v>
      </c>
      <c r="G78" s="41"/>
      <c r="H78" s="13"/>
      <c r="I78" s="10"/>
    </row>
    <row r="79" spans="1:9" ht="25" x14ac:dyDescent="0.35">
      <c r="A79" s="17" t="s">
        <v>521</v>
      </c>
      <c r="B79" s="12" t="s">
        <v>237</v>
      </c>
      <c r="C79" s="12" t="s">
        <v>238</v>
      </c>
      <c r="D79" s="12" t="s">
        <v>522</v>
      </c>
      <c r="E79" s="41"/>
      <c r="F79" s="13" t="s">
        <v>375</v>
      </c>
      <c r="G79" s="41"/>
      <c r="H79" s="13"/>
      <c r="I79" s="10"/>
    </row>
    <row r="80" spans="1:9" ht="25" x14ac:dyDescent="0.35">
      <c r="A80" s="17" t="s">
        <v>523</v>
      </c>
      <c r="B80" s="12" t="s">
        <v>240</v>
      </c>
      <c r="C80" s="12" t="s">
        <v>241</v>
      </c>
      <c r="D80" s="12" t="s">
        <v>524</v>
      </c>
      <c r="E80" s="41"/>
      <c r="F80" s="13" t="s">
        <v>375</v>
      </c>
      <c r="G80" s="41"/>
      <c r="H80" s="13"/>
      <c r="I80" s="10"/>
    </row>
    <row r="81" spans="1:9" ht="25" x14ac:dyDescent="0.35">
      <c r="A81" s="17" t="s">
        <v>525</v>
      </c>
      <c r="B81" s="12" t="s">
        <v>240</v>
      </c>
      <c r="C81" s="12" t="s">
        <v>241</v>
      </c>
      <c r="D81" s="12" t="s">
        <v>526</v>
      </c>
      <c r="E81" s="41"/>
      <c r="F81" s="13" t="s">
        <v>375</v>
      </c>
      <c r="G81" s="41"/>
      <c r="H81" s="13"/>
      <c r="I81" s="10"/>
    </row>
    <row r="82" spans="1:9" ht="25" x14ac:dyDescent="0.35">
      <c r="A82" s="17" t="s">
        <v>527</v>
      </c>
      <c r="B82" s="12" t="s">
        <v>240</v>
      </c>
      <c r="C82" s="12" t="s">
        <v>241</v>
      </c>
      <c r="D82" s="12" t="s">
        <v>528</v>
      </c>
      <c r="E82" s="41"/>
      <c r="F82" s="13" t="s">
        <v>375</v>
      </c>
      <c r="G82" s="41"/>
      <c r="H82" s="13"/>
      <c r="I82" s="10"/>
    </row>
    <row r="83" spans="1:9" ht="25" x14ac:dyDescent="0.35">
      <c r="A83" s="17" t="s">
        <v>529</v>
      </c>
      <c r="B83" s="12" t="s">
        <v>240</v>
      </c>
      <c r="C83" s="12" t="s">
        <v>241</v>
      </c>
      <c r="D83" s="12" t="s">
        <v>530</v>
      </c>
      <c r="E83" s="41"/>
      <c r="F83" s="13" t="s">
        <v>375</v>
      </c>
      <c r="G83" s="41"/>
      <c r="H83" s="13"/>
      <c r="I83" s="10"/>
    </row>
    <row r="84" spans="1:9" ht="25" x14ac:dyDescent="0.35">
      <c r="A84" s="17" t="s">
        <v>531</v>
      </c>
      <c r="B84" s="12" t="s">
        <v>243</v>
      </c>
      <c r="C84" s="12" t="s">
        <v>244</v>
      </c>
      <c r="D84" s="12" t="s">
        <v>532</v>
      </c>
      <c r="E84" s="41"/>
      <c r="F84" s="13" t="s">
        <v>375</v>
      </c>
      <c r="G84" s="41"/>
      <c r="H84" s="13"/>
      <c r="I84" s="10"/>
    </row>
    <row r="85" spans="1:9" ht="25" x14ac:dyDescent="0.35">
      <c r="A85" s="17" t="s">
        <v>533</v>
      </c>
      <c r="B85" s="12" t="s">
        <v>243</v>
      </c>
      <c r="C85" s="12" t="s">
        <v>244</v>
      </c>
      <c r="D85" s="12" t="s">
        <v>534</v>
      </c>
      <c r="E85" s="41"/>
      <c r="F85" s="13" t="s">
        <v>375</v>
      </c>
      <c r="G85" s="41"/>
      <c r="H85" s="13"/>
      <c r="I85" s="10"/>
    </row>
    <row r="86" spans="1:9" ht="25" x14ac:dyDescent="0.35">
      <c r="A86" s="17" t="s">
        <v>535</v>
      </c>
      <c r="B86" s="12" t="s">
        <v>243</v>
      </c>
      <c r="C86" s="12" t="s">
        <v>244</v>
      </c>
      <c r="D86" s="12" t="s">
        <v>536</v>
      </c>
      <c r="E86" s="41"/>
      <c r="F86" s="13" t="s">
        <v>375</v>
      </c>
      <c r="G86" s="41"/>
      <c r="H86" s="13"/>
      <c r="I86" s="10"/>
    </row>
    <row r="87" spans="1:9" ht="25" x14ac:dyDescent="0.35">
      <c r="A87" s="17" t="s">
        <v>537</v>
      </c>
      <c r="B87" s="12" t="s">
        <v>243</v>
      </c>
      <c r="C87" s="12" t="s">
        <v>244</v>
      </c>
      <c r="D87" s="12" t="s">
        <v>538</v>
      </c>
      <c r="E87" s="41"/>
      <c r="F87" s="13" t="s">
        <v>375</v>
      </c>
      <c r="G87" s="41"/>
      <c r="H87" s="13"/>
      <c r="I87" s="10"/>
    </row>
    <row r="88" spans="1:9" ht="25" x14ac:dyDescent="0.35">
      <c r="A88" s="17" t="s">
        <v>539</v>
      </c>
      <c r="B88" s="12" t="s">
        <v>246</v>
      </c>
      <c r="C88" s="12" t="s">
        <v>247</v>
      </c>
      <c r="D88" s="12" t="s">
        <v>540</v>
      </c>
      <c r="E88" s="41"/>
      <c r="F88" s="13" t="s">
        <v>375</v>
      </c>
      <c r="G88" s="41"/>
      <c r="H88" s="13"/>
      <c r="I88" s="10"/>
    </row>
    <row r="89" spans="1:9" ht="25" x14ac:dyDescent="0.35">
      <c r="A89" s="17" t="s">
        <v>541</v>
      </c>
      <c r="B89" s="12" t="s">
        <v>246</v>
      </c>
      <c r="C89" s="12" t="s">
        <v>247</v>
      </c>
      <c r="D89" s="12" t="s">
        <v>542</v>
      </c>
      <c r="E89" s="41"/>
      <c r="F89" s="13" t="s">
        <v>375</v>
      </c>
      <c r="G89" s="41"/>
      <c r="H89" s="13"/>
      <c r="I89" s="10"/>
    </row>
    <row r="90" spans="1:9" ht="25" x14ac:dyDescent="0.35">
      <c r="A90" s="17" t="s">
        <v>543</v>
      </c>
      <c r="B90" s="12" t="s">
        <v>246</v>
      </c>
      <c r="C90" s="12" t="s">
        <v>247</v>
      </c>
      <c r="D90" s="12" t="s">
        <v>544</v>
      </c>
      <c r="E90" s="41"/>
      <c r="F90" s="13" t="s">
        <v>375</v>
      </c>
      <c r="G90" s="41"/>
      <c r="H90" s="13"/>
      <c r="I90" s="10"/>
    </row>
    <row r="91" spans="1:9" ht="25" x14ac:dyDescent="0.35">
      <c r="A91" s="17" t="s">
        <v>545</v>
      </c>
      <c r="B91" s="12" t="s">
        <v>246</v>
      </c>
      <c r="C91" s="12" t="s">
        <v>247</v>
      </c>
      <c r="D91" s="12" t="s">
        <v>546</v>
      </c>
      <c r="E91" s="41"/>
      <c r="F91" s="13" t="s">
        <v>375</v>
      </c>
      <c r="G91" s="41"/>
      <c r="H91" s="13"/>
      <c r="I91" s="10"/>
    </row>
    <row r="92" spans="1:9" ht="25" x14ac:dyDescent="0.35">
      <c r="A92" s="17" t="s">
        <v>547</v>
      </c>
      <c r="B92" s="12" t="s">
        <v>246</v>
      </c>
      <c r="C92" s="12" t="s">
        <v>247</v>
      </c>
      <c r="D92" s="12" t="s">
        <v>548</v>
      </c>
      <c r="E92" s="41"/>
      <c r="F92" s="13" t="s">
        <v>375</v>
      </c>
      <c r="G92" s="41"/>
      <c r="H92" s="13"/>
      <c r="I92" s="10"/>
    </row>
    <row r="93" spans="1:9" ht="25" x14ac:dyDescent="0.35">
      <c r="A93" s="17" t="s">
        <v>549</v>
      </c>
      <c r="B93" s="12" t="s">
        <v>249</v>
      </c>
      <c r="C93" s="12" t="s">
        <v>250</v>
      </c>
      <c r="D93" s="12" t="s">
        <v>550</v>
      </c>
      <c r="E93" s="41"/>
      <c r="F93" s="13" t="s">
        <v>375</v>
      </c>
      <c r="G93" s="41"/>
      <c r="H93" s="13"/>
      <c r="I93" s="10"/>
    </row>
    <row r="94" spans="1:9" ht="25" x14ac:dyDescent="0.35">
      <c r="A94" s="17" t="s">
        <v>551</v>
      </c>
      <c r="B94" s="12" t="s">
        <v>249</v>
      </c>
      <c r="C94" s="12" t="s">
        <v>250</v>
      </c>
      <c r="D94" s="12" t="s">
        <v>552</v>
      </c>
      <c r="E94" s="41"/>
      <c r="F94" s="13" t="s">
        <v>375</v>
      </c>
      <c r="G94" s="41"/>
      <c r="H94" s="13"/>
      <c r="I94" s="10"/>
    </row>
    <row r="95" spans="1:9" ht="25" x14ac:dyDescent="0.35">
      <c r="A95" s="17" t="s">
        <v>553</v>
      </c>
      <c r="B95" s="12" t="s">
        <v>249</v>
      </c>
      <c r="C95" s="12" t="s">
        <v>250</v>
      </c>
      <c r="D95" s="12" t="s">
        <v>554</v>
      </c>
      <c r="E95" s="41"/>
      <c r="F95" s="13" t="s">
        <v>375</v>
      </c>
      <c r="G95" s="41"/>
      <c r="H95" s="13"/>
      <c r="I95" s="10"/>
    </row>
    <row r="96" spans="1:9" ht="25" x14ac:dyDescent="0.35">
      <c r="A96" s="17" t="s">
        <v>555</v>
      </c>
      <c r="B96" s="12" t="s">
        <v>249</v>
      </c>
      <c r="C96" s="12" t="s">
        <v>250</v>
      </c>
      <c r="D96" s="12" t="s">
        <v>556</v>
      </c>
      <c r="E96" s="41"/>
      <c r="F96" s="13" t="s">
        <v>375</v>
      </c>
      <c r="G96" s="41"/>
      <c r="H96" s="13"/>
      <c r="I96" s="10"/>
    </row>
    <row r="97" spans="1:9" ht="25" x14ac:dyDescent="0.35">
      <c r="A97" s="17" t="s">
        <v>557</v>
      </c>
      <c r="B97" s="12" t="s">
        <v>252</v>
      </c>
      <c r="C97" s="12" t="s">
        <v>253</v>
      </c>
      <c r="D97" s="12" t="s">
        <v>558</v>
      </c>
      <c r="E97" s="41"/>
      <c r="F97" s="13" t="s">
        <v>375</v>
      </c>
      <c r="G97" s="41"/>
      <c r="H97" s="13"/>
      <c r="I97" s="10"/>
    </row>
    <row r="98" spans="1:9" ht="25" x14ac:dyDescent="0.35">
      <c r="A98" s="17" t="s">
        <v>559</v>
      </c>
      <c r="B98" s="12" t="s">
        <v>252</v>
      </c>
      <c r="C98" s="12" t="s">
        <v>253</v>
      </c>
      <c r="D98" s="12" t="s">
        <v>560</v>
      </c>
      <c r="E98" s="41"/>
      <c r="F98" s="13" t="s">
        <v>375</v>
      </c>
      <c r="G98" s="41"/>
      <c r="H98" s="13"/>
      <c r="I98" s="10"/>
    </row>
    <row r="99" spans="1:9" ht="25" x14ac:dyDescent="0.35">
      <c r="A99" s="17" t="s">
        <v>561</v>
      </c>
      <c r="B99" s="12" t="s">
        <v>252</v>
      </c>
      <c r="C99" s="12" t="s">
        <v>253</v>
      </c>
      <c r="D99" s="12" t="s">
        <v>562</v>
      </c>
      <c r="E99" s="41"/>
      <c r="F99" s="13" t="s">
        <v>375</v>
      </c>
      <c r="G99" s="41"/>
      <c r="H99" s="13"/>
      <c r="I99" s="10"/>
    </row>
    <row r="100" spans="1:9" ht="25" x14ac:dyDescent="0.35">
      <c r="A100" s="17" t="s">
        <v>563</v>
      </c>
      <c r="B100" s="12" t="s">
        <v>252</v>
      </c>
      <c r="C100" s="12" t="s">
        <v>253</v>
      </c>
      <c r="D100" s="12" t="s">
        <v>564</v>
      </c>
      <c r="E100" s="41"/>
      <c r="F100" s="13" t="s">
        <v>375</v>
      </c>
      <c r="G100" s="41"/>
      <c r="H100" s="13"/>
      <c r="I100" s="10"/>
    </row>
    <row r="101" spans="1:9" ht="25" x14ac:dyDescent="0.35">
      <c r="A101" s="17" t="s">
        <v>565</v>
      </c>
      <c r="B101" s="12" t="s">
        <v>255</v>
      </c>
      <c r="C101" s="12" t="s">
        <v>256</v>
      </c>
      <c r="D101" s="12" t="s">
        <v>566</v>
      </c>
      <c r="E101" s="41"/>
      <c r="F101" s="13" t="s">
        <v>375</v>
      </c>
      <c r="G101" s="41"/>
      <c r="H101" s="13"/>
      <c r="I101" s="10"/>
    </row>
    <row r="102" spans="1:9" ht="25" x14ac:dyDescent="0.35">
      <c r="A102" s="17" t="s">
        <v>567</v>
      </c>
      <c r="B102" s="12" t="s">
        <v>255</v>
      </c>
      <c r="C102" s="12" t="s">
        <v>256</v>
      </c>
      <c r="D102" s="12" t="s">
        <v>568</v>
      </c>
      <c r="E102" s="41"/>
      <c r="F102" s="13" t="s">
        <v>375</v>
      </c>
      <c r="G102" s="41"/>
      <c r="H102" s="13"/>
      <c r="I102" s="10"/>
    </row>
    <row r="103" spans="1:9" ht="25" x14ac:dyDescent="0.35">
      <c r="A103" s="17" t="s">
        <v>569</v>
      </c>
      <c r="B103" s="12" t="s">
        <v>255</v>
      </c>
      <c r="C103" s="12" t="s">
        <v>256</v>
      </c>
      <c r="D103" s="12" t="s">
        <v>570</v>
      </c>
      <c r="E103" s="41"/>
      <c r="F103" s="13" t="s">
        <v>375</v>
      </c>
      <c r="G103" s="41"/>
      <c r="H103" s="13"/>
      <c r="I103" s="10"/>
    </row>
    <row r="104" spans="1:9" ht="25" x14ac:dyDescent="0.35">
      <c r="A104" s="17" t="s">
        <v>571</v>
      </c>
      <c r="B104" s="12" t="s">
        <v>255</v>
      </c>
      <c r="C104" s="12" t="s">
        <v>256</v>
      </c>
      <c r="D104" s="12" t="s">
        <v>572</v>
      </c>
      <c r="E104" s="41"/>
      <c r="F104" s="13" t="s">
        <v>375</v>
      </c>
      <c r="G104" s="41"/>
      <c r="H104" s="13"/>
      <c r="I104" s="10"/>
    </row>
    <row r="105" spans="1:9" ht="25" x14ac:dyDescent="0.35">
      <c r="A105" s="17" t="s">
        <v>573</v>
      </c>
      <c r="B105" s="12" t="s">
        <v>258</v>
      </c>
      <c r="C105" s="12" t="s">
        <v>259</v>
      </c>
      <c r="D105" s="12" t="s">
        <v>574</v>
      </c>
      <c r="E105" s="41"/>
      <c r="F105" s="13" t="s">
        <v>375</v>
      </c>
      <c r="G105" s="41"/>
      <c r="H105" s="13"/>
      <c r="I105" s="10"/>
    </row>
    <row r="106" spans="1:9" ht="25" x14ac:dyDescent="0.35">
      <c r="A106" s="17" t="s">
        <v>575</v>
      </c>
      <c r="B106" s="12" t="s">
        <v>258</v>
      </c>
      <c r="C106" s="12" t="s">
        <v>259</v>
      </c>
      <c r="D106" s="12" t="s">
        <v>576</v>
      </c>
      <c r="E106" s="41"/>
      <c r="F106" s="13" t="s">
        <v>375</v>
      </c>
      <c r="G106" s="41"/>
      <c r="H106" s="13"/>
      <c r="I106" s="10"/>
    </row>
    <row r="107" spans="1:9" ht="25" x14ac:dyDescent="0.35">
      <c r="A107" s="17" t="s">
        <v>577</v>
      </c>
      <c r="B107" s="12" t="s">
        <v>258</v>
      </c>
      <c r="C107" s="12" t="s">
        <v>259</v>
      </c>
      <c r="D107" s="12" t="s">
        <v>578</v>
      </c>
      <c r="E107" s="41"/>
      <c r="F107" s="13" t="s">
        <v>375</v>
      </c>
      <c r="G107" s="41"/>
      <c r="H107" s="13"/>
      <c r="I107" s="10"/>
    </row>
    <row r="108" spans="1:9" ht="25" x14ac:dyDescent="0.35">
      <c r="A108" s="17" t="s">
        <v>579</v>
      </c>
      <c r="B108" s="12" t="s">
        <v>261</v>
      </c>
      <c r="C108" s="12" t="s">
        <v>262</v>
      </c>
      <c r="D108" s="12" t="s">
        <v>580</v>
      </c>
      <c r="E108" s="41"/>
      <c r="F108" s="13" t="s">
        <v>375</v>
      </c>
      <c r="G108" s="41"/>
      <c r="H108" s="13"/>
      <c r="I108" s="10"/>
    </row>
    <row r="109" spans="1:9" ht="25" x14ac:dyDescent="0.35">
      <c r="A109" s="17" t="s">
        <v>581</v>
      </c>
      <c r="B109" s="12" t="s">
        <v>261</v>
      </c>
      <c r="C109" s="12" t="s">
        <v>262</v>
      </c>
      <c r="D109" s="12" t="s">
        <v>582</v>
      </c>
      <c r="E109" s="41"/>
      <c r="F109" s="13" t="s">
        <v>375</v>
      </c>
      <c r="G109" s="41"/>
      <c r="H109" s="13"/>
      <c r="I109" s="10"/>
    </row>
    <row r="110" spans="1:9" ht="25" x14ac:dyDescent="0.35">
      <c r="A110" s="17" t="s">
        <v>583</v>
      </c>
      <c r="B110" s="12" t="s">
        <v>261</v>
      </c>
      <c r="C110" s="12" t="s">
        <v>262</v>
      </c>
      <c r="D110" s="12" t="s">
        <v>584</v>
      </c>
      <c r="E110" s="41"/>
      <c r="F110" s="13" t="s">
        <v>375</v>
      </c>
      <c r="G110" s="41"/>
      <c r="H110" s="13"/>
      <c r="I110" s="10"/>
    </row>
    <row r="111" spans="1:9" ht="25" x14ac:dyDescent="0.35">
      <c r="A111" s="17" t="s">
        <v>585</v>
      </c>
      <c r="B111" s="12" t="s">
        <v>261</v>
      </c>
      <c r="C111" s="12" t="s">
        <v>262</v>
      </c>
      <c r="D111" s="12" t="s">
        <v>586</v>
      </c>
      <c r="E111" s="41"/>
      <c r="F111" s="13" t="s">
        <v>375</v>
      </c>
      <c r="G111" s="41"/>
      <c r="H111" s="13"/>
      <c r="I111" s="10"/>
    </row>
    <row r="112" spans="1:9" ht="25" x14ac:dyDescent="0.35">
      <c r="A112" s="17" t="s">
        <v>587</v>
      </c>
      <c r="B112" s="12" t="s">
        <v>264</v>
      </c>
      <c r="C112" s="12" t="s">
        <v>265</v>
      </c>
      <c r="D112" s="12" t="s">
        <v>588</v>
      </c>
      <c r="E112" s="41"/>
      <c r="F112" s="13" t="s">
        <v>375</v>
      </c>
      <c r="G112" s="41"/>
      <c r="H112" s="13"/>
      <c r="I112" s="10"/>
    </row>
    <row r="113" spans="1:9" ht="25" x14ac:dyDescent="0.35">
      <c r="A113" s="17" t="s">
        <v>589</v>
      </c>
      <c r="B113" s="12" t="s">
        <v>264</v>
      </c>
      <c r="C113" s="12" t="s">
        <v>265</v>
      </c>
      <c r="D113" s="12" t="s">
        <v>590</v>
      </c>
      <c r="E113" s="41"/>
      <c r="F113" s="13" t="s">
        <v>375</v>
      </c>
      <c r="G113" s="41"/>
      <c r="H113" s="13"/>
      <c r="I113" s="10"/>
    </row>
    <row r="114" spans="1:9" ht="25" x14ac:dyDescent="0.35">
      <c r="A114" s="17" t="s">
        <v>591</v>
      </c>
      <c r="B114" s="12" t="s">
        <v>264</v>
      </c>
      <c r="C114" s="12" t="s">
        <v>265</v>
      </c>
      <c r="D114" s="12" t="s">
        <v>592</v>
      </c>
      <c r="E114" s="41"/>
      <c r="F114" s="13" t="s">
        <v>375</v>
      </c>
      <c r="G114" s="41"/>
      <c r="H114" s="13"/>
      <c r="I114" s="10"/>
    </row>
    <row r="115" spans="1:9" ht="25" x14ac:dyDescent="0.35">
      <c r="A115" s="17" t="s">
        <v>593</v>
      </c>
      <c r="B115" s="12" t="s">
        <v>264</v>
      </c>
      <c r="C115" s="12" t="s">
        <v>265</v>
      </c>
      <c r="D115" s="12" t="s">
        <v>594</v>
      </c>
      <c r="E115" s="41"/>
      <c r="F115" s="13" t="s">
        <v>375</v>
      </c>
      <c r="G115" s="41"/>
      <c r="H115" s="13"/>
      <c r="I115" s="10"/>
    </row>
    <row r="116" spans="1:9" ht="25" x14ac:dyDescent="0.35">
      <c r="A116" s="17" t="s">
        <v>595</v>
      </c>
      <c r="B116" s="12" t="s">
        <v>267</v>
      </c>
      <c r="C116" s="12" t="s">
        <v>268</v>
      </c>
      <c r="D116" s="12" t="s">
        <v>596</v>
      </c>
      <c r="E116" s="41"/>
      <c r="F116" s="13" t="s">
        <v>375</v>
      </c>
      <c r="G116" s="41"/>
      <c r="H116" s="13"/>
      <c r="I116" s="10"/>
    </row>
    <row r="117" spans="1:9" ht="25" x14ac:dyDescent="0.35">
      <c r="A117" s="17" t="s">
        <v>597</v>
      </c>
      <c r="B117" s="12" t="s">
        <v>267</v>
      </c>
      <c r="C117" s="12" t="s">
        <v>268</v>
      </c>
      <c r="D117" s="12" t="s">
        <v>598</v>
      </c>
      <c r="E117" s="41"/>
      <c r="F117" s="13" t="s">
        <v>375</v>
      </c>
      <c r="G117" s="41"/>
      <c r="H117" s="13"/>
      <c r="I117" s="10"/>
    </row>
    <row r="118" spans="1:9" ht="25" x14ac:dyDescent="0.35">
      <c r="A118" s="17" t="s">
        <v>599</v>
      </c>
      <c r="B118" s="12" t="s">
        <v>267</v>
      </c>
      <c r="C118" s="12" t="s">
        <v>268</v>
      </c>
      <c r="D118" s="12" t="s">
        <v>600</v>
      </c>
      <c r="E118" s="41"/>
      <c r="F118" s="13" t="s">
        <v>375</v>
      </c>
      <c r="G118" s="41"/>
      <c r="H118" s="13"/>
      <c r="I118" s="10"/>
    </row>
    <row r="119" spans="1:9" ht="25" x14ac:dyDescent="0.35">
      <c r="A119" s="17" t="s">
        <v>601</v>
      </c>
      <c r="B119" s="12" t="s">
        <v>267</v>
      </c>
      <c r="C119" s="12" t="s">
        <v>268</v>
      </c>
      <c r="D119" s="12" t="s">
        <v>602</v>
      </c>
      <c r="E119" s="41"/>
      <c r="F119" s="13" t="s">
        <v>375</v>
      </c>
      <c r="G119" s="41"/>
      <c r="H119" s="13"/>
      <c r="I119" s="10"/>
    </row>
    <row r="120" spans="1:9" ht="25" x14ac:dyDescent="0.35">
      <c r="A120" s="17" t="s">
        <v>603</v>
      </c>
      <c r="B120" s="12" t="s">
        <v>267</v>
      </c>
      <c r="C120" s="12" t="s">
        <v>268</v>
      </c>
      <c r="D120" s="12" t="s">
        <v>604</v>
      </c>
      <c r="E120" s="41"/>
      <c r="F120" s="13" t="s">
        <v>375</v>
      </c>
      <c r="G120" s="41"/>
      <c r="H120" s="13"/>
      <c r="I120" s="10"/>
    </row>
    <row r="121" spans="1:9" ht="25" x14ac:dyDescent="0.35">
      <c r="A121" s="17" t="s">
        <v>605</v>
      </c>
      <c r="B121" s="12" t="s">
        <v>270</v>
      </c>
      <c r="C121" s="12" t="s">
        <v>271</v>
      </c>
      <c r="D121" s="12" t="s">
        <v>606</v>
      </c>
      <c r="E121" s="41"/>
      <c r="F121" s="13" t="s">
        <v>375</v>
      </c>
      <c r="G121" s="41"/>
      <c r="H121" s="13"/>
      <c r="I121" s="10"/>
    </row>
    <row r="122" spans="1:9" ht="25" x14ac:dyDescent="0.35">
      <c r="A122" s="17" t="s">
        <v>607</v>
      </c>
      <c r="B122" s="12" t="s">
        <v>270</v>
      </c>
      <c r="C122" s="12" t="s">
        <v>271</v>
      </c>
      <c r="D122" s="12" t="s">
        <v>608</v>
      </c>
      <c r="E122" s="41"/>
      <c r="F122" s="13" t="s">
        <v>375</v>
      </c>
      <c r="G122" s="41"/>
      <c r="H122" s="13"/>
      <c r="I122" s="10"/>
    </row>
    <row r="123" spans="1:9" ht="25" x14ac:dyDescent="0.35">
      <c r="A123" s="17" t="s">
        <v>609</v>
      </c>
      <c r="B123" s="12" t="s">
        <v>270</v>
      </c>
      <c r="C123" s="12" t="s">
        <v>271</v>
      </c>
      <c r="D123" s="12" t="s">
        <v>610</v>
      </c>
      <c r="E123" s="41"/>
      <c r="F123" s="13" t="s">
        <v>375</v>
      </c>
      <c r="G123" s="41"/>
      <c r="H123" s="13"/>
      <c r="I123" s="10"/>
    </row>
    <row r="124" spans="1:9" ht="25" x14ac:dyDescent="0.35">
      <c r="A124" s="17" t="s">
        <v>611</v>
      </c>
      <c r="B124" s="12" t="s">
        <v>270</v>
      </c>
      <c r="C124" s="12" t="s">
        <v>271</v>
      </c>
      <c r="D124" s="12" t="s">
        <v>612</v>
      </c>
      <c r="E124" s="41"/>
      <c r="F124" s="13" t="s">
        <v>375</v>
      </c>
      <c r="G124" s="41"/>
      <c r="H124" s="13"/>
      <c r="I124" s="10"/>
    </row>
    <row r="125" spans="1:9" ht="25" x14ac:dyDescent="0.35">
      <c r="A125" s="17" t="s">
        <v>613</v>
      </c>
      <c r="B125" s="12" t="s">
        <v>270</v>
      </c>
      <c r="C125" s="12" t="s">
        <v>271</v>
      </c>
      <c r="D125" s="12" t="s">
        <v>614</v>
      </c>
      <c r="E125" s="41"/>
      <c r="F125" s="13" t="s">
        <v>375</v>
      </c>
      <c r="G125" s="41"/>
      <c r="H125" s="13"/>
      <c r="I125" s="10"/>
    </row>
    <row r="126" spans="1:9" ht="25" x14ac:dyDescent="0.35">
      <c r="A126" s="17" t="s">
        <v>615</v>
      </c>
      <c r="B126" s="12" t="s">
        <v>273</v>
      </c>
      <c r="C126" s="12" t="s">
        <v>274</v>
      </c>
      <c r="D126" s="12" t="s">
        <v>616</v>
      </c>
      <c r="E126" s="41"/>
      <c r="F126" s="13" t="s">
        <v>375</v>
      </c>
      <c r="G126" s="41"/>
      <c r="H126" s="13"/>
      <c r="I126" s="10"/>
    </row>
    <row r="127" spans="1:9" ht="25" x14ac:dyDescent="0.35">
      <c r="A127" s="17" t="s">
        <v>617</v>
      </c>
      <c r="B127" s="12" t="s">
        <v>273</v>
      </c>
      <c r="C127" s="12" t="s">
        <v>274</v>
      </c>
      <c r="D127" s="12" t="s">
        <v>618</v>
      </c>
      <c r="E127" s="41"/>
      <c r="F127" s="13" t="s">
        <v>375</v>
      </c>
      <c r="G127" s="41"/>
      <c r="H127" s="13"/>
      <c r="I127" s="10"/>
    </row>
    <row r="128" spans="1:9" ht="25" x14ac:dyDescent="0.35">
      <c r="A128" s="17" t="s">
        <v>619</v>
      </c>
      <c r="B128" s="12" t="s">
        <v>273</v>
      </c>
      <c r="C128" s="12" t="s">
        <v>274</v>
      </c>
      <c r="D128" s="12" t="s">
        <v>401</v>
      </c>
      <c r="E128" s="41"/>
      <c r="F128" s="13" t="s">
        <v>375</v>
      </c>
      <c r="G128" s="41"/>
      <c r="H128" s="13"/>
      <c r="I128" s="10"/>
    </row>
    <row r="129" spans="1:9" ht="25" x14ac:dyDescent="0.35">
      <c r="A129" s="17" t="s">
        <v>620</v>
      </c>
      <c r="B129" s="12" t="s">
        <v>273</v>
      </c>
      <c r="C129" s="12" t="s">
        <v>274</v>
      </c>
      <c r="D129" s="12" t="s">
        <v>621</v>
      </c>
      <c r="E129" s="41"/>
      <c r="F129" s="13" t="s">
        <v>375</v>
      </c>
      <c r="G129" s="41"/>
      <c r="H129" s="13"/>
      <c r="I129" s="10"/>
    </row>
    <row r="130" spans="1:9" ht="25" x14ac:dyDescent="0.35">
      <c r="A130" s="17" t="s">
        <v>622</v>
      </c>
      <c r="B130" s="12" t="s">
        <v>273</v>
      </c>
      <c r="C130" s="12" t="s">
        <v>274</v>
      </c>
      <c r="D130" s="12" t="s">
        <v>623</v>
      </c>
      <c r="E130" s="41"/>
      <c r="F130" s="13" t="s">
        <v>375</v>
      </c>
      <c r="G130" s="41"/>
      <c r="H130" s="13"/>
      <c r="I130" s="10"/>
    </row>
    <row r="131" spans="1:9" ht="25" x14ac:dyDescent="0.35">
      <c r="A131" s="17" t="s">
        <v>624</v>
      </c>
      <c r="B131" s="12" t="s">
        <v>276</v>
      </c>
      <c r="C131" s="12" t="s">
        <v>277</v>
      </c>
      <c r="D131" s="12" t="s">
        <v>625</v>
      </c>
      <c r="E131" s="41"/>
      <c r="F131" s="13" t="s">
        <v>375</v>
      </c>
      <c r="G131" s="41"/>
      <c r="H131" s="13"/>
      <c r="I131" s="10"/>
    </row>
    <row r="132" spans="1:9" ht="25" x14ac:dyDescent="0.35">
      <c r="A132" s="17" t="s">
        <v>626</v>
      </c>
      <c r="B132" s="12" t="s">
        <v>276</v>
      </c>
      <c r="C132" s="12" t="s">
        <v>277</v>
      </c>
      <c r="D132" s="12" t="s">
        <v>627</v>
      </c>
      <c r="E132" s="41"/>
      <c r="F132" s="13" t="s">
        <v>375</v>
      </c>
      <c r="G132" s="41"/>
      <c r="H132" s="13"/>
      <c r="I132" s="10"/>
    </row>
    <row r="133" spans="1:9" ht="25" x14ac:dyDescent="0.35">
      <c r="A133" s="17" t="s">
        <v>628</v>
      </c>
      <c r="B133" s="12" t="s">
        <v>276</v>
      </c>
      <c r="C133" s="12" t="s">
        <v>277</v>
      </c>
      <c r="D133" s="12" t="s">
        <v>629</v>
      </c>
      <c r="E133" s="41"/>
      <c r="F133" s="13" t="s">
        <v>375</v>
      </c>
      <c r="G133" s="41"/>
      <c r="H133" s="13"/>
      <c r="I133" s="10"/>
    </row>
    <row r="134" spans="1:9" ht="25" x14ac:dyDescent="0.35">
      <c r="A134" s="17" t="s">
        <v>630</v>
      </c>
      <c r="B134" s="12" t="s">
        <v>276</v>
      </c>
      <c r="C134" s="12" t="s">
        <v>277</v>
      </c>
      <c r="D134" s="12" t="s">
        <v>631</v>
      </c>
      <c r="E134" s="41"/>
      <c r="F134" s="13" t="s">
        <v>375</v>
      </c>
      <c r="G134" s="41"/>
      <c r="H134" s="13"/>
      <c r="I134" s="10"/>
    </row>
    <row r="135" spans="1:9" ht="25" x14ac:dyDescent="0.35">
      <c r="A135" s="17" t="s">
        <v>632</v>
      </c>
      <c r="B135" s="12" t="s">
        <v>276</v>
      </c>
      <c r="C135" s="12" t="s">
        <v>277</v>
      </c>
      <c r="D135" s="12" t="s">
        <v>633</v>
      </c>
      <c r="E135" s="41"/>
      <c r="F135" s="13" t="s">
        <v>375</v>
      </c>
      <c r="G135" s="41"/>
      <c r="H135" s="13"/>
      <c r="I135" s="10"/>
    </row>
    <row r="136" spans="1:9" ht="25" x14ac:dyDescent="0.35">
      <c r="A136" s="17" t="s">
        <v>634</v>
      </c>
      <c r="B136" s="12" t="s">
        <v>276</v>
      </c>
      <c r="C136" s="12" t="s">
        <v>277</v>
      </c>
      <c r="D136" s="12" t="s">
        <v>635</v>
      </c>
      <c r="E136" s="41"/>
      <c r="F136" s="13" t="s">
        <v>375</v>
      </c>
      <c r="G136" s="41"/>
      <c r="H136" s="13"/>
      <c r="I136" s="10"/>
    </row>
    <row r="137" spans="1:9" ht="25" x14ac:dyDescent="0.35">
      <c r="A137" s="17" t="s">
        <v>636</v>
      </c>
      <c r="B137" s="12" t="s">
        <v>279</v>
      </c>
      <c r="C137" s="12" t="s">
        <v>280</v>
      </c>
      <c r="D137" s="12" t="s">
        <v>637</v>
      </c>
      <c r="E137" s="41"/>
      <c r="F137" s="13" t="s">
        <v>375</v>
      </c>
      <c r="G137" s="41"/>
      <c r="H137" s="13"/>
      <c r="I137" s="10"/>
    </row>
    <row r="138" spans="1:9" ht="25" x14ac:dyDescent="0.35">
      <c r="A138" s="17" t="s">
        <v>638</v>
      </c>
      <c r="B138" s="12" t="s">
        <v>279</v>
      </c>
      <c r="C138" s="12" t="s">
        <v>280</v>
      </c>
      <c r="D138" s="12" t="s">
        <v>639</v>
      </c>
      <c r="E138" s="41"/>
      <c r="F138" s="13" t="s">
        <v>375</v>
      </c>
      <c r="G138" s="41"/>
      <c r="H138" s="13"/>
      <c r="I138" s="10"/>
    </row>
    <row r="139" spans="1:9" ht="25" x14ac:dyDescent="0.35">
      <c r="A139" s="17" t="s">
        <v>640</v>
      </c>
      <c r="B139" s="12" t="s">
        <v>279</v>
      </c>
      <c r="C139" s="12" t="s">
        <v>280</v>
      </c>
      <c r="D139" s="12" t="s">
        <v>641</v>
      </c>
      <c r="E139" s="41"/>
      <c r="F139" s="13" t="s">
        <v>375</v>
      </c>
      <c r="G139" s="41"/>
      <c r="H139" s="13"/>
      <c r="I139" s="10"/>
    </row>
    <row r="140" spans="1:9" ht="25" x14ac:dyDescent="0.35">
      <c r="A140" s="17" t="s">
        <v>642</v>
      </c>
      <c r="B140" s="12" t="s">
        <v>279</v>
      </c>
      <c r="C140" s="12" t="s">
        <v>280</v>
      </c>
      <c r="D140" s="12" t="s">
        <v>643</v>
      </c>
      <c r="E140" s="41"/>
      <c r="F140" s="13" t="s">
        <v>375</v>
      </c>
      <c r="G140" s="41"/>
      <c r="H140" s="13"/>
      <c r="I140" s="10"/>
    </row>
    <row r="141" spans="1:9" ht="25" x14ac:dyDescent="0.35">
      <c r="A141" s="17" t="s">
        <v>644</v>
      </c>
      <c r="B141" s="12" t="s">
        <v>282</v>
      </c>
      <c r="C141" s="12" t="s">
        <v>283</v>
      </c>
      <c r="D141" s="12" t="s">
        <v>645</v>
      </c>
      <c r="E141" s="41"/>
      <c r="F141" s="13" t="s">
        <v>375</v>
      </c>
      <c r="G141" s="41"/>
      <c r="H141" s="13"/>
      <c r="I141" s="10"/>
    </row>
    <row r="142" spans="1:9" ht="25" x14ac:dyDescent="0.35">
      <c r="A142" s="17" t="s">
        <v>646</v>
      </c>
      <c r="B142" s="12" t="s">
        <v>282</v>
      </c>
      <c r="C142" s="12" t="s">
        <v>283</v>
      </c>
      <c r="D142" s="12" t="s">
        <v>647</v>
      </c>
      <c r="E142" s="41"/>
      <c r="F142" s="13" t="s">
        <v>375</v>
      </c>
      <c r="G142" s="41"/>
      <c r="H142" s="13"/>
      <c r="I142" s="10"/>
    </row>
    <row r="143" spans="1:9" ht="25" x14ac:dyDescent="0.35">
      <c r="A143" s="17" t="s">
        <v>648</v>
      </c>
      <c r="B143" s="12" t="s">
        <v>282</v>
      </c>
      <c r="C143" s="12" t="s">
        <v>283</v>
      </c>
      <c r="D143" s="12" t="s">
        <v>649</v>
      </c>
      <c r="E143" s="41"/>
      <c r="F143" s="13" t="s">
        <v>375</v>
      </c>
      <c r="G143" s="41"/>
      <c r="H143" s="13"/>
      <c r="I143" s="10"/>
    </row>
    <row r="144" spans="1:9" ht="25" x14ac:dyDescent="0.35">
      <c r="A144" s="17" t="s">
        <v>650</v>
      </c>
      <c r="B144" s="12" t="s">
        <v>282</v>
      </c>
      <c r="C144" s="12" t="s">
        <v>283</v>
      </c>
      <c r="D144" s="12" t="s">
        <v>651</v>
      </c>
      <c r="E144" s="41"/>
      <c r="F144" s="13" t="s">
        <v>375</v>
      </c>
      <c r="G144" s="41"/>
      <c r="H144" s="13"/>
      <c r="I144" s="10"/>
    </row>
    <row r="145" spans="1:9" ht="25" x14ac:dyDescent="0.35">
      <c r="A145" s="17" t="s">
        <v>652</v>
      </c>
      <c r="B145" s="12" t="s">
        <v>282</v>
      </c>
      <c r="C145" s="12" t="s">
        <v>283</v>
      </c>
      <c r="D145" s="12" t="s">
        <v>443</v>
      </c>
      <c r="E145" s="41"/>
      <c r="F145" s="13" t="s">
        <v>375</v>
      </c>
      <c r="G145" s="41"/>
      <c r="H145" s="13"/>
      <c r="I145" s="10"/>
    </row>
    <row r="146" spans="1:9" ht="25" x14ac:dyDescent="0.35">
      <c r="A146" s="17" t="s">
        <v>653</v>
      </c>
      <c r="B146" s="12" t="s">
        <v>285</v>
      </c>
      <c r="C146" s="12" t="s">
        <v>286</v>
      </c>
      <c r="D146" s="12" t="s">
        <v>654</v>
      </c>
      <c r="E146" s="41"/>
      <c r="F146" s="13" t="s">
        <v>375</v>
      </c>
      <c r="G146" s="41"/>
      <c r="H146" s="13"/>
      <c r="I146" s="10"/>
    </row>
    <row r="147" spans="1:9" ht="25" x14ac:dyDescent="0.35">
      <c r="A147" s="17" t="s">
        <v>655</v>
      </c>
      <c r="B147" s="12" t="s">
        <v>285</v>
      </c>
      <c r="C147" s="12" t="s">
        <v>286</v>
      </c>
      <c r="D147" s="12" t="s">
        <v>656</v>
      </c>
      <c r="E147" s="41"/>
      <c r="F147" s="13" t="s">
        <v>375</v>
      </c>
      <c r="G147" s="41"/>
      <c r="H147" s="13"/>
      <c r="I147" s="10"/>
    </row>
    <row r="148" spans="1:9" ht="25" x14ac:dyDescent="0.35">
      <c r="A148" s="17" t="s">
        <v>657</v>
      </c>
      <c r="B148" s="12" t="s">
        <v>285</v>
      </c>
      <c r="C148" s="12" t="s">
        <v>286</v>
      </c>
      <c r="D148" s="12" t="s">
        <v>658</v>
      </c>
      <c r="E148" s="41"/>
      <c r="F148" s="13" t="s">
        <v>375</v>
      </c>
      <c r="G148" s="41"/>
      <c r="H148" s="13"/>
      <c r="I148" s="10"/>
    </row>
    <row r="149" spans="1:9" ht="25" x14ac:dyDescent="0.35">
      <c r="A149" s="17" t="s">
        <v>659</v>
      </c>
      <c r="B149" s="12" t="s">
        <v>285</v>
      </c>
      <c r="C149" s="12" t="s">
        <v>286</v>
      </c>
      <c r="D149" s="12" t="s">
        <v>660</v>
      </c>
      <c r="E149" s="41"/>
      <c r="F149" s="13" t="s">
        <v>375</v>
      </c>
      <c r="G149" s="41"/>
      <c r="H149" s="13"/>
      <c r="I149" s="10"/>
    </row>
    <row r="150" spans="1:9" ht="37.5" x14ac:dyDescent="0.35">
      <c r="A150" s="17" t="s">
        <v>661</v>
      </c>
      <c r="B150" s="12" t="s">
        <v>288</v>
      </c>
      <c r="C150" s="12" t="s">
        <v>289</v>
      </c>
      <c r="D150" s="12" t="s">
        <v>662</v>
      </c>
      <c r="E150" s="41"/>
      <c r="F150" s="13" t="s">
        <v>375</v>
      </c>
      <c r="G150" s="41"/>
      <c r="H150" s="13"/>
      <c r="I150" s="10"/>
    </row>
    <row r="151" spans="1:9" ht="37.5" x14ac:dyDescent="0.35">
      <c r="A151" s="17" t="s">
        <v>663</v>
      </c>
      <c r="B151" s="12" t="s">
        <v>288</v>
      </c>
      <c r="C151" s="12" t="s">
        <v>289</v>
      </c>
      <c r="D151" s="12" t="s">
        <v>664</v>
      </c>
      <c r="E151" s="41"/>
      <c r="F151" s="13" t="s">
        <v>375</v>
      </c>
      <c r="G151" s="41"/>
      <c r="H151" s="13"/>
      <c r="I151" s="10"/>
    </row>
    <row r="152" spans="1:9" ht="37.5" x14ac:dyDescent="0.35">
      <c r="A152" s="17" t="s">
        <v>665</v>
      </c>
      <c r="B152" s="12" t="s">
        <v>288</v>
      </c>
      <c r="C152" s="12" t="s">
        <v>289</v>
      </c>
      <c r="D152" s="12" t="s">
        <v>666</v>
      </c>
      <c r="E152" s="41"/>
      <c r="F152" s="13" t="s">
        <v>375</v>
      </c>
      <c r="G152" s="41"/>
      <c r="H152" s="13"/>
      <c r="I152" s="10"/>
    </row>
    <row r="153" spans="1:9" ht="37.5" x14ac:dyDescent="0.35">
      <c r="A153" s="17" t="s">
        <v>667</v>
      </c>
      <c r="B153" s="12" t="s">
        <v>288</v>
      </c>
      <c r="C153" s="12" t="s">
        <v>289</v>
      </c>
      <c r="D153" s="12" t="s">
        <v>668</v>
      </c>
      <c r="E153" s="41"/>
      <c r="F153" s="13" t="s">
        <v>375</v>
      </c>
      <c r="G153" s="41"/>
      <c r="H153" s="13"/>
      <c r="I153" s="10"/>
    </row>
    <row r="154" spans="1:9" ht="25" x14ac:dyDescent="0.35">
      <c r="A154" s="17" t="s">
        <v>669</v>
      </c>
      <c r="B154" s="12" t="s">
        <v>291</v>
      </c>
      <c r="C154" s="12" t="s">
        <v>292</v>
      </c>
      <c r="D154" s="12" t="s">
        <v>670</v>
      </c>
      <c r="E154" s="41"/>
      <c r="F154" s="13" t="s">
        <v>375</v>
      </c>
      <c r="G154" s="41"/>
      <c r="H154" s="13"/>
      <c r="I154" s="10"/>
    </row>
    <row r="155" spans="1:9" ht="25" x14ac:dyDescent="0.35">
      <c r="A155" s="17" t="s">
        <v>671</v>
      </c>
      <c r="B155" s="12" t="s">
        <v>291</v>
      </c>
      <c r="C155" s="12" t="s">
        <v>292</v>
      </c>
      <c r="D155" s="12" t="s">
        <v>672</v>
      </c>
      <c r="E155" s="41"/>
      <c r="F155" s="13" t="s">
        <v>375</v>
      </c>
      <c r="G155" s="41"/>
      <c r="H155" s="13"/>
      <c r="I155" s="10"/>
    </row>
    <row r="156" spans="1:9" ht="25" x14ac:dyDescent="0.35">
      <c r="A156" s="17" t="s">
        <v>673</v>
      </c>
      <c r="B156" s="12" t="s">
        <v>291</v>
      </c>
      <c r="C156" s="12" t="s">
        <v>292</v>
      </c>
      <c r="D156" s="12" t="s">
        <v>674</v>
      </c>
      <c r="E156" s="41"/>
      <c r="F156" s="13" t="s">
        <v>375</v>
      </c>
      <c r="G156" s="41"/>
      <c r="H156" s="13"/>
      <c r="I156" s="10"/>
    </row>
    <row r="157" spans="1:9" ht="25" x14ac:dyDescent="0.35">
      <c r="A157" s="17" t="s">
        <v>675</v>
      </c>
      <c r="B157" s="12" t="s">
        <v>294</v>
      </c>
      <c r="C157" s="12" t="s">
        <v>295</v>
      </c>
      <c r="D157" s="12" t="s">
        <v>676</v>
      </c>
      <c r="E157" s="41"/>
      <c r="F157" s="13" t="s">
        <v>375</v>
      </c>
      <c r="G157" s="41"/>
      <c r="H157" s="13"/>
      <c r="I157" s="10"/>
    </row>
    <row r="158" spans="1:9" ht="25" x14ac:dyDescent="0.35">
      <c r="A158" s="17" t="s">
        <v>677</v>
      </c>
      <c r="B158" s="12" t="s">
        <v>294</v>
      </c>
      <c r="C158" s="12" t="s">
        <v>295</v>
      </c>
      <c r="D158" s="12" t="s">
        <v>678</v>
      </c>
      <c r="E158" s="41"/>
      <c r="F158" s="13" t="s">
        <v>375</v>
      </c>
      <c r="G158" s="41"/>
      <c r="H158" s="13"/>
      <c r="I158" s="10"/>
    </row>
    <row r="159" spans="1:9" ht="25" x14ac:dyDescent="0.35">
      <c r="A159" s="17" t="s">
        <v>679</v>
      </c>
      <c r="B159" s="12" t="s">
        <v>294</v>
      </c>
      <c r="C159" s="12" t="s">
        <v>295</v>
      </c>
      <c r="D159" s="12" t="s">
        <v>680</v>
      </c>
      <c r="E159" s="41"/>
      <c r="F159" s="13" t="s">
        <v>375</v>
      </c>
      <c r="G159" s="41"/>
      <c r="H159" s="13"/>
      <c r="I159" s="10"/>
    </row>
    <row r="160" spans="1:9" ht="25" x14ac:dyDescent="0.35">
      <c r="A160" s="17" t="s">
        <v>681</v>
      </c>
      <c r="B160" s="12" t="s">
        <v>294</v>
      </c>
      <c r="C160" s="12" t="s">
        <v>295</v>
      </c>
      <c r="D160" s="12" t="s">
        <v>682</v>
      </c>
      <c r="E160" s="41"/>
      <c r="F160" s="13" t="s">
        <v>375</v>
      </c>
      <c r="G160" s="41"/>
      <c r="H160" s="13"/>
      <c r="I160" s="10"/>
    </row>
    <row r="161" spans="1:9" ht="25" x14ac:dyDescent="0.35">
      <c r="A161" s="17" t="s">
        <v>683</v>
      </c>
      <c r="B161" s="12" t="s">
        <v>294</v>
      </c>
      <c r="C161" s="12" t="s">
        <v>295</v>
      </c>
      <c r="D161" s="12" t="s">
        <v>684</v>
      </c>
      <c r="E161" s="41"/>
      <c r="F161" s="13" t="s">
        <v>375</v>
      </c>
      <c r="G161" s="41"/>
      <c r="H161" s="13"/>
      <c r="I161" s="10"/>
    </row>
    <row r="162" spans="1:9" ht="25" x14ac:dyDescent="0.35">
      <c r="A162" s="17" t="s">
        <v>685</v>
      </c>
      <c r="B162" s="12" t="s">
        <v>297</v>
      </c>
      <c r="C162" s="12" t="s">
        <v>298</v>
      </c>
      <c r="D162" s="12" t="s">
        <v>686</v>
      </c>
      <c r="E162" s="41"/>
      <c r="F162" s="13" t="s">
        <v>375</v>
      </c>
      <c r="G162" s="41"/>
      <c r="H162" s="13"/>
      <c r="I162" s="10"/>
    </row>
    <row r="163" spans="1:9" ht="25" x14ac:dyDescent="0.35">
      <c r="A163" s="17" t="s">
        <v>687</v>
      </c>
      <c r="B163" s="12" t="s">
        <v>297</v>
      </c>
      <c r="C163" s="12" t="s">
        <v>298</v>
      </c>
      <c r="D163" s="12" t="s">
        <v>688</v>
      </c>
      <c r="E163" s="41"/>
      <c r="F163" s="13" t="s">
        <v>375</v>
      </c>
      <c r="G163" s="41"/>
      <c r="H163" s="13"/>
      <c r="I163" s="10"/>
    </row>
    <row r="164" spans="1:9" ht="25" x14ac:dyDescent="0.35">
      <c r="A164" s="17" t="s">
        <v>689</v>
      </c>
      <c r="B164" s="12" t="s">
        <v>297</v>
      </c>
      <c r="C164" s="12" t="s">
        <v>298</v>
      </c>
      <c r="D164" s="12" t="s">
        <v>690</v>
      </c>
      <c r="E164" s="41"/>
      <c r="F164" s="13" t="s">
        <v>375</v>
      </c>
      <c r="G164" s="41"/>
      <c r="H164" s="13"/>
      <c r="I164" s="10"/>
    </row>
    <row r="165" spans="1:9" ht="25" x14ac:dyDescent="0.35">
      <c r="A165" s="17" t="s">
        <v>691</v>
      </c>
      <c r="B165" s="12" t="s">
        <v>297</v>
      </c>
      <c r="C165" s="12" t="s">
        <v>298</v>
      </c>
      <c r="D165" s="12" t="s">
        <v>692</v>
      </c>
      <c r="E165" s="41"/>
      <c r="F165" s="13" t="s">
        <v>375</v>
      </c>
      <c r="G165" s="41"/>
      <c r="H165" s="13"/>
      <c r="I165" s="10"/>
    </row>
    <row r="166" spans="1:9" ht="25" x14ac:dyDescent="0.35">
      <c r="A166" s="17" t="s">
        <v>693</v>
      </c>
      <c r="B166" s="12" t="s">
        <v>300</v>
      </c>
      <c r="C166" s="12" t="s">
        <v>301</v>
      </c>
      <c r="D166" s="12" t="s">
        <v>694</v>
      </c>
      <c r="E166" s="41"/>
      <c r="F166" s="13" t="s">
        <v>375</v>
      </c>
      <c r="G166" s="41"/>
      <c r="H166" s="13"/>
      <c r="I166" s="10"/>
    </row>
    <row r="167" spans="1:9" ht="25" x14ac:dyDescent="0.35">
      <c r="A167" s="17" t="s">
        <v>695</v>
      </c>
      <c r="B167" s="12" t="s">
        <v>300</v>
      </c>
      <c r="C167" s="12" t="s">
        <v>301</v>
      </c>
      <c r="D167" s="12" t="s">
        <v>696</v>
      </c>
      <c r="E167" s="41"/>
      <c r="F167" s="13" t="s">
        <v>375</v>
      </c>
      <c r="G167" s="41"/>
      <c r="H167" s="13"/>
      <c r="I167" s="10"/>
    </row>
    <row r="168" spans="1:9" ht="25" x14ac:dyDescent="0.35">
      <c r="A168" s="17" t="s">
        <v>697</v>
      </c>
      <c r="B168" s="12" t="s">
        <v>300</v>
      </c>
      <c r="C168" s="12" t="s">
        <v>301</v>
      </c>
      <c r="D168" s="12" t="s">
        <v>698</v>
      </c>
      <c r="E168" s="41"/>
      <c r="F168" s="13" t="s">
        <v>375</v>
      </c>
      <c r="G168" s="41"/>
      <c r="H168" s="13"/>
      <c r="I168" s="10"/>
    </row>
    <row r="169" spans="1:9" ht="25" x14ac:dyDescent="0.35">
      <c r="A169" s="17" t="s">
        <v>699</v>
      </c>
      <c r="B169" s="12" t="s">
        <v>300</v>
      </c>
      <c r="C169" s="12" t="s">
        <v>301</v>
      </c>
      <c r="D169" s="12" t="s">
        <v>700</v>
      </c>
      <c r="E169" s="41"/>
      <c r="F169" s="13" t="s">
        <v>375</v>
      </c>
      <c r="G169" s="41"/>
      <c r="H169" s="13"/>
      <c r="I169" s="10"/>
    </row>
    <row r="170" spans="1:9" ht="25" x14ac:dyDescent="0.35">
      <c r="A170" s="17" t="s">
        <v>701</v>
      </c>
      <c r="B170" s="12" t="s">
        <v>300</v>
      </c>
      <c r="C170" s="12" t="s">
        <v>301</v>
      </c>
      <c r="D170" s="12" t="s">
        <v>702</v>
      </c>
      <c r="E170" s="41"/>
      <c r="F170" s="13" t="s">
        <v>375</v>
      </c>
      <c r="G170" s="41"/>
      <c r="H170" s="13"/>
      <c r="I170" s="10"/>
    </row>
    <row r="171" spans="1:9" ht="25" x14ac:dyDescent="0.35">
      <c r="A171" s="17" t="s">
        <v>703</v>
      </c>
      <c r="B171" s="12" t="s">
        <v>303</v>
      </c>
      <c r="C171" s="12" t="s">
        <v>304</v>
      </c>
      <c r="D171" s="12" t="s">
        <v>704</v>
      </c>
      <c r="E171" s="41"/>
      <c r="F171" s="13" t="s">
        <v>375</v>
      </c>
      <c r="G171" s="41"/>
      <c r="H171" s="13"/>
      <c r="I171" s="10"/>
    </row>
    <row r="172" spans="1:9" ht="25" x14ac:dyDescent="0.35">
      <c r="A172" s="17" t="s">
        <v>705</v>
      </c>
      <c r="B172" s="12" t="s">
        <v>303</v>
      </c>
      <c r="C172" s="12" t="s">
        <v>304</v>
      </c>
      <c r="D172" s="12" t="s">
        <v>649</v>
      </c>
      <c r="E172" s="41"/>
      <c r="F172" s="13" t="s">
        <v>375</v>
      </c>
      <c r="G172" s="41"/>
      <c r="H172" s="13"/>
      <c r="I172" s="10"/>
    </row>
    <row r="173" spans="1:9" ht="25" x14ac:dyDescent="0.35">
      <c r="A173" s="17" t="s">
        <v>706</v>
      </c>
      <c r="B173" s="12" t="s">
        <v>303</v>
      </c>
      <c r="C173" s="12" t="s">
        <v>304</v>
      </c>
      <c r="D173" s="12" t="s">
        <v>707</v>
      </c>
      <c r="E173" s="41"/>
      <c r="F173" s="13" t="s">
        <v>375</v>
      </c>
      <c r="G173" s="41"/>
      <c r="H173" s="13"/>
      <c r="I173" s="10"/>
    </row>
    <row r="174" spans="1:9" ht="25" x14ac:dyDescent="0.35">
      <c r="A174" s="17" t="s">
        <v>708</v>
      </c>
      <c r="B174" s="12" t="s">
        <v>303</v>
      </c>
      <c r="C174" s="12" t="s">
        <v>304</v>
      </c>
      <c r="D174" s="12" t="s">
        <v>709</v>
      </c>
      <c r="E174" s="41"/>
      <c r="F174" s="13" t="s">
        <v>375</v>
      </c>
      <c r="G174" s="41"/>
      <c r="H174" s="13"/>
      <c r="I174" s="10"/>
    </row>
    <row r="175" spans="1:9" ht="25" x14ac:dyDescent="0.35">
      <c r="A175" s="17" t="s">
        <v>710</v>
      </c>
      <c r="B175" s="12" t="s">
        <v>306</v>
      </c>
      <c r="C175" s="12" t="s">
        <v>307</v>
      </c>
      <c r="D175" s="12" t="s">
        <v>711</v>
      </c>
      <c r="E175" s="41"/>
      <c r="F175" s="13" t="s">
        <v>375</v>
      </c>
      <c r="G175" s="41"/>
      <c r="H175" s="13"/>
      <c r="I175" s="10"/>
    </row>
    <row r="176" spans="1:9" ht="25" x14ac:dyDescent="0.35">
      <c r="A176" s="17" t="s">
        <v>712</v>
      </c>
      <c r="B176" s="12" t="s">
        <v>306</v>
      </c>
      <c r="C176" s="12" t="s">
        <v>307</v>
      </c>
      <c r="D176" s="12" t="s">
        <v>713</v>
      </c>
      <c r="E176" s="41"/>
      <c r="F176" s="13" t="s">
        <v>375</v>
      </c>
      <c r="G176" s="41"/>
      <c r="H176" s="13"/>
      <c r="I176" s="10"/>
    </row>
    <row r="177" spans="1:9" ht="25" x14ac:dyDescent="0.35">
      <c r="A177" s="17" t="s">
        <v>714</v>
      </c>
      <c r="B177" s="12" t="s">
        <v>306</v>
      </c>
      <c r="C177" s="12" t="s">
        <v>307</v>
      </c>
      <c r="D177" s="12" t="s">
        <v>715</v>
      </c>
      <c r="E177" s="41"/>
      <c r="F177" s="13" t="s">
        <v>375</v>
      </c>
      <c r="G177" s="41"/>
      <c r="H177" s="13"/>
      <c r="I177" s="10"/>
    </row>
    <row r="178" spans="1:9" ht="25" x14ac:dyDescent="0.35">
      <c r="A178" s="17" t="s">
        <v>716</v>
      </c>
      <c r="B178" s="12" t="s">
        <v>306</v>
      </c>
      <c r="C178" s="12" t="s">
        <v>307</v>
      </c>
      <c r="D178" s="12" t="s">
        <v>717</v>
      </c>
      <c r="E178" s="41"/>
      <c r="F178" s="13" t="s">
        <v>375</v>
      </c>
      <c r="G178" s="41"/>
      <c r="H178" s="13"/>
      <c r="I178" s="10"/>
    </row>
    <row r="179" spans="1:9" ht="25" x14ac:dyDescent="0.35">
      <c r="A179" s="17" t="s">
        <v>718</v>
      </c>
      <c r="B179" s="12" t="s">
        <v>309</v>
      </c>
      <c r="C179" s="12" t="s">
        <v>310</v>
      </c>
      <c r="D179" s="12" t="s">
        <v>719</v>
      </c>
      <c r="E179" s="41"/>
      <c r="F179" s="13" t="s">
        <v>375</v>
      </c>
      <c r="G179" s="41"/>
      <c r="H179" s="13"/>
      <c r="I179" s="10"/>
    </row>
    <row r="180" spans="1:9" ht="25" x14ac:dyDescent="0.35">
      <c r="A180" s="17" t="s">
        <v>720</v>
      </c>
      <c r="B180" s="12" t="s">
        <v>309</v>
      </c>
      <c r="C180" s="12" t="s">
        <v>310</v>
      </c>
      <c r="D180" s="12" t="s">
        <v>721</v>
      </c>
      <c r="E180" s="41"/>
      <c r="F180" s="13" t="s">
        <v>375</v>
      </c>
      <c r="G180" s="41"/>
      <c r="H180" s="13"/>
      <c r="I180" s="10"/>
    </row>
    <row r="181" spans="1:9" ht="25" x14ac:dyDescent="0.35">
      <c r="A181" s="17" t="s">
        <v>722</v>
      </c>
      <c r="B181" s="12" t="s">
        <v>309</v>
      </c>
      <c r="C181" s="12" t="s">
        <v>310</v>
      </c>
      <c r="D181" s="12" t="s">
        <v>723</v>
      </c>
      <c r="E181" s="41"/>
      <c r="F181" s="13" t="s">
        <v>375</v>
      </c>
      <c r="G181" s="41"/>
      <c r="H181" s="13"/>
      <c r="I181" s="10"/>
    </row>
    <row r="182" spans="1:9" ht="25" x14ac:dyDescent="0.35">
      <c r="A182" s="17" t="s">
        <v>724</v>
      </c>
      <c r="B182" s="12" t="s">
        <v>309</v>
      </c>
      <c r="C182" s="12" t="s">
        <v>310</v>
      </c>
      <c r="D182" s="12" t="s">
        <v>725</v>
      </c>
      <c r="E182" s="41"/>
      <c r="F182" s="13" t="s">
        <v>375</v>
      </c>
      <c r="G182" s="41"/>
      <c r="H182" s="13"/>
      <c r="I182" s="10"/>
    </row>
    <row r="183" spans="1:9" ht="25" x14ac:dyDescent="0.35">
      <c r="A183" s="17" t="s">
        <v>726</v>
      </c>
      <c r="B183" s="12" t="s">
        <v>312</v>
      </c>
      <c r="C183" s="12" t="s">
        <v>313</v>
      </c>
      <c r="D183" s="12" t="s">
        <v>727</v>
      </c>
      <c r="E183" s="41"/>
      <c r="F183" s="13" t="s">
        <v>375</v>
      </c>
      <c r="G183" s="41"/>
      <c r="H183" s="13"/>
      <c r="I183" s="10"/>
    </row>
    <row r="184" spans="1:9" ht="25" x14ac:dyDescent="0.35">
      <c r="A184" s="17" t="s">
        <v>728</v>
      </c>
      <c r="B184" s="12" t="s">
        <v>312</v>
      </c>
      <c r="C184" s="12" t="s">
        <v>313</v>
      </c>
      <c r="D184" s="12" t="s">
        <v>729</v>
      </c>
      <c r="E184" s="41"/>
      <c r="F184" s="13" t="s">
        <v>375</v>
      </c>
      <c r="G184" s="41"/>
      <c r="H184" s="13"/>
      <c r="I184" s="10"/>
    </row>
    <row r="185" spans="1:9" ht="25" x14ac:dyDescent="0.35">
      <c r="A185" s="17" t="s">
        <v>730</v>
      </c>
      <c r="B185" s="12" t="s">
        <v>312</v>
      </c>
      <c r="C185" s="12" t="s">
        <v>313</v>
      </c>
      <c r="D185" s="12" t="s">
        <v>731</v>
      </c>
      <c r="E185" s="41"/>
      <c r="F185" s="13" t="s">
        <v>375</v>
      </c>
      <c r="G185" s="41"/>
      <c r="H185" s="13"/>
      <c r="I185" s="10"/>
    </row>
    <row r="186" spans="1:9" ht="25" x14ac:dyDescent="0.35">
      <c r="A186" s="17" t="s">
        <v>732</v>
      </c>
      <c r="B186" s="12" t="s">
        <v>315</v>
      </c>
      <c r="C186" s="12" t="s">
        <v>316</v>
      </c>
      <c r="D186" s="12" t="s">
        <v>733</v>
      </c>
      <c r="E186" s="41"/>
      <c r="F186" s="13" t="s">
        <v>375</v>
      </c>
      <c r="G186" s="41"/>
      <c r="H186" s="13"/>
      <c r="I186" s="10"/>
    </row>
    <row r="187" spans="1:9" ht="25" x14ac:dyDescent="0.35">
      <c r="A187" s="17" t="s">
        <v>734</v>
      </c>
      <c r="B187" s="12" t="s">
        <v>315</v>
      </c>
      <c r="C187" s="12" t="s">
        <v>316</v>
      </c>
      <c r="D187" s="12" t="s">
        <v>735</v>
      </c>
      <c r="E187" s="41"/>
      <c r="F187" s="13" t="s">
        <v>375</v>
      </c>
      <c r="G187" s="41"/>
      <c r="H187" s="13"/>
      <c r="I187" s="10"/>
    </row>
    <row r="188" spans="1:9" ht="25" x14ac:dyDescent="0.35">
      <c r="A188" s="17" t="s">
        <v>736</v>
      </c>
      <c r="B188" s="12" t="s">
        <v>315</v>
      </c>
      <c r="C188" s="12" t="s">
        <v>316</v>
      </c>
      <c r="D188" s="12" t="s">
        <v>737</v>
      </c>
      <c r="E188" s="41"/>
      <c r="F188" s="13" t="s">
        <v>375</v>
      </c>
      <c r="G188" s="41"/>
      <c r="H188" s="13"/>
      <c r="I188" s="10"/>
    </row>
    <row r="189" spans="1:9" ht="25" x14ac:dyDescent="0.35">
      <c r="A189" s="17" t="s">
        <v>738</v>
      </c>
      <c r="B189" s="12" t="s">
        <v>315</v>
      </c>
      <c r="C189" s="12" t="s">
        <v>316</v>
      </c>
      <c r="D189" s="12" t="s">
        <v>739</v>
      </c>
      <c r="E189" s="41"/>
      <c r="F189" s="13" t="s">
        <v>375</v>
      </c>
      <c r="G189" s="41"/>
      <c r="H189" s="13"/>
      <c r="I189" s="10"/>
    </row>
    <row r="190" spans="1:9" ht="25" x14ac:dyDescent="0.35">
      <c r="A190" s="17" t="s">
        <v>740</v>
      </c>
      <c r="B190" s="12" t="s">
        <v>315</v>
      </c>
      <c r="C190" s="12" t="s">
        <v>316</v>
      </c>
      <c r="D190" s="12" t="s">
        <v>741</v>
      </c>
      <c r="E190" s="41"/>
      <c r="F190" s="13" t="s">
        <v>375</v>
      </c>
      <c r="G190" s="41"/>
      <c r="H190" s="13"/>
      <c r="I190" s="10"/>
    </row>
    <row r="191" spans="1:9" ht="25" x14ac:dyDescent="0.35">
      <c r="A191" s="17" t="s">
        <v>742</v>
      </c>
      <c r="B191" s="12" t="s">
        <v>318</v>
      </c>
      <c r="C191" s="12" t="s">
        <v>319</v>
      </c>
      <c r="D191" s="12" t="s">
        <v>743</v>
      </c>
      <c r="E191" s="41"/>
      <c r="F191" s="13" t="s">
        <v>375</v>
      </c>
      <c r="G191" s="41"/>
      <c r="H191" s="13"/>
      <c r="I191" s="10"/>
    </row>
    <row r="192" spans="1:9" ht="25" x14ac:dyDescent="0.35">
      <c r="A192" s="17" t="s">
        <v>744</v>
      </c>
      <c r="B192" s="12" t="s">
        <v>318</v>
      </c>
      <c r="C192" s="12" t="s">
        <v>319</v>
      </c>
      <c r="D192" s="12" t="s">
        <v>745</v>
      </c>
      <c r="E192" s="41"/>
      <c r="F192" s="13" t="s">
        <v>375</v>
      </c>
      <c r="G192" s="41"/>
      <c r="H192" s="13"/>
      <c r="I192" s="10"/>
    </row>
    <row r="193" spans="1:9" ht="25" x14ac:dyDescent="0.35">
      <c r="A193" s="17" t="s">
        <v>746</v>
      </c>
      <c r="B193" s="12" t="s">
        <v>318</v>
      </c>
      <c r="C193" s="12" t="s">
        <v>319</v>
      </c>
      <c r="D193" s="12" t="s">
        <v>747</v>
      </c>
      <c r="E193" s="41"/>
      <c r="F193" s="13" t="s">
        <v>375</v>
      </c>
      <c r="G193" s="41"/>
      <c r="H193" s="13"/>
      <c r="I193" s="10"/>
    </row>
    <row r="194" spans="1:9" ht="25" x14ac:dyDescent="0.35">
      <c r="A194" s="17" t="s">
        <v>748</v>
      </c>
      <c r="B194" s="12" t="s">
        <v>318</v>
      </c>
      <c r="C194" s="12" t="s">
        <v>319</v>
      </c>
      <c r="D194" s="12" t="s">
        <v>749</v>
      </c>
      <c r="E194" s="41"/>
      <c r="F194" s="13" t="s">
        <v>375</v>
      </c>
      <c r="G194" s="41"/>
      <c r="H194" s="13"/>
      <c r="I194" s="10"/>
    </row>
    <row r="195" spans="1:9" ht="25" x14ac:dyDescent="0.35">
      <c r="A195" s="17" t="s">
        <v>750</v>
      </c>
      <c r="B195" s="12" t="s">
        <v>321</v>
      </c>
      <c r="C195" s="12" t="s">
        <v>322</v>
      </c>
      <c r="D195" s="12" t="s">
        <v>751</v>
      </c>
      <c r="E195" s="41"/>
      <c r="F195" s="13" t="s">
        <v>375</v>
      </c>
      <c r="G195" s="41"/>
      <c r="H195" s="13"/>
      <c r="I195" s="10"/>
    </row>
    <row r="196" spans="1:9" ht="25" x14ac:dyDescent="0.35">
      <c r="A196" s="17" t="s">
        <v>752</v>
      </c>
      <c r="B196" s="12" t="s">
        <v>321</v>
      </c>
      <c r="C196" s="12" t="s">
        <v>322</v>
      </c>
      <c r="D196" s="12" t="s">
        <v>753</v>
      </c>
      <c r="E196" s="41"/>
      <c r="F196" s="13" t="s">
        <v>375</v>
      </c>
      <c r="G196" s="41"/>
      <c r="H196" s="13"/>
      <c r="I196" s="10"/>
    </row>
    <row r="197" spans="1:9" ht="25" x14ac:dyDescent="0.35">
      <c r="A197" s="17" t="s">
        <v>754</v>
      </c>
      <c r="B197" s="12" t="s">
        <v>321</v>
      </c>
      <c r="C197" s="12" t="s">
        <v>322</v>
      </c>
      <c r="D197" s="12" t="s">
        <v>755</v>
      </c>
      <c r="E197" s="41"/>
      <c r="F197" s="13" t="s">
        <v>375</v>
      </c>
      <c r="G197" s="41"/>
      <c r="H197" s="13"/>
      <c r="I197" s="10"/>
    </row>
    <row r="198" spans="1:9" ht="25" x14ac:dyDescent="0.35">
      <c r="A198" s="17" t="s">
        <v>756</v>
      </c>
      <c r="B198" s="12" t="s">
        <v>321</v>
      </c>
      <c r="C198" s="12" t="s">
        <v>322</v>
      </c>
      <c r="D198" s="12" t="s">
        <v>757</v>
      </c>
      <c r="E198" s="41"/>
      <c r="F198" s="13" t="s">
        <v>375</v>
      </c>
      <c r="G198" s="41"/>
      <c r="H198" s="13"/>
      <c r="I198" s="10"/>
    </row>
    <row r="199" spans="1:9" ht="25" x14ac:dyDescent="0.35">
      <c r="A199" s="17" t="s">
        <v>758</v>
      </c>
      <c r="B199" s="12" t="s">
        <v>324</v>
      </c>
      <c r="C199" s="12" t="s">
        <v>325</v>
      </c>
      <c r="D199" s="12" t="s">
        <v>759</v>
      </c>
      <c r="E199" s="41"/>
      <c r="F199" s="13" t="s">
        <v>375</v>
      </c>
      <c r="G199" s="41"/>
      <c r="H199" s="13"/>
      <c r="I199" s="10"/>
    </row>
    <row r="200" spans="1:9" ht="25" x14ac:dyDescent="0.35">
      <c r="A200" s="17" t="s">
        <v>760</v>
      </c>
      <c r="B200" s="12" t="s">
        <v>324</v>
      </c>
      <c r="C200" s="12" t="s">
        <v>325</v>
      </c>
      <c r="D200" s="12" t="s">
        <v>761</v>
      </c>
      <c r="E200" s="41"/>
      <c r="F200" s="13" t="s">
        <v>375</v>
      </c>
      <c r="G200" s="41"/>
      <c r="H200" s="13"/>
      <c r="I200" s="10"/>
    </row>
    <row r="201" spans="1:9" ht="25" x14ac:dyDescent="0.35">
      <c r="A201" s="17" t="s">
        <v>762</v>
      </c>
      <c r="B201" s="12" t="s">
        <v>324</v>
      </c>
      <c r="C201" s="12" t="s">
        <v>325</v>
      </c>
      <c r="D201" s="12" t="s">
        <v>763</v>
      </c>
      <c r="E201" s="41"/>
      <c r="F201" s="13" t="s">
        <v>375</v>
      </c>
      <c r="G201" s="41"/>
      <c r="H201" s="13"/>
      <c r="I201" s="10"/>
    </row>
    <row r="202" spans="1:9" ht="25" x14ac:dyDescent="0.35">
      <c r="A202" s="17" t="s">
        <v>764</v>
      </c>
      <c r="B202" s="12" t="s">
        <v>324</v>
      </c>
      <c r="C202" s="12" t="s">
        <v>325</v>
      </c>
      <c r="D202" s="12" t="s">
        <v>765</v>
      </c>
      <c r="E202" s="41"/>
      <c r="F202" s="13" t="s">
        <v>375</v>
      </c>
      <c r="G202" s="41"/>
      <c r="H202" s="13"/>
      <c r="I202" s="10"/>
    </row>
    <row r="203" spans="1:9" ht="25" x14ac:dyDescent="0.35">
      <c r="A203" s="17" t="s">
        <v>766</v>
      </c>
      <c r="B203" s="12" t="s">
        <v>324</v>
      </c>
      <c r="C203" s="12" t="s">
        <v>325</v>
      </c>
      <c r="D203" s="12" t="s">
        <v>767</v>
      </c>
      <c r="E203" s="41"/>
      <c r="F203" s="13" t="s">
        <v>375</v>
      </c>
      <c r="G203" s="41"/>
      <c r="H203" s="13"/>
      <c r="I203" s="10"/>
    </row>
    <row r="204" spans="1:9" ht="25" x14ac:dyDescent="0.35">
      <c r="A204" s="17" t="s">
        <v>768</v>
      </c>
      <c r="B204" s="12" t="s">
        <v>327</v>
      </c>
      <c r="C204" s="12" t="s">
        <v>328</v>
      </c>
      <c r="D204" s="12" t="s">
        <v>769</v>
      </c>
      <c r="E204" s="41"/>
      <c r="F204" s="13" t="s">
        <v>375</v>
      </c>
      <c r="G204" s="41"/>
      <c r="H204" s="13"/>
      <c r="I204" s="10"/>
    </row>
    <row r="205" spans="1:9" ht="25" x14ac:dyDescent="0.35">
      <c r="A205" s="17" t="s">
        <v>770</v>
      </c>
      <c r="B205" s="12" t="s">
        <v>327</v>
      </c>
      <c r="C205" s="12" t="s">
        <v>328</v>
      </c>
      <c r="D205" s="12" t="s">
        <v>771</v>
      </c>
      <c r="E205" s="41"/>
      <c r="F205" s="13" t="s">
        <v>375</v>
      </c>
      <c r="G205" s="41"/>
      <c r="H205" s="13"/>
      <c r="I205" s="10"/>
    </row>
    <row r="206" spans="1:9" ht="25" x14ac:dyDescent="0.35">
      <c r="A206" s="17" t="s">
        <v>772</v>
      </c>
      <c r="B206" s="12" t="s">
        <v>327</v>
      </c>
      <c r="C206" s="12" t="s">
        <v>328</v>
      </c>
      <c r="D206" s="12" t="s">
        <v>773</v>
      </c>
      <c r="E206" s="41"/>
      <c r="F206" s="13" t="s">
        <v>375</v>
      </c>
      <c r="G206" s="41"/>
      <c r="H206" s="13"/>
      <c r="I206" s="10"/>
    </row>
    <row r="207" spans="1:9" ht="25" x14ac:dyDescent="0.35">
      <c r="A207" s="17" t="s">
        <v>774</v>
      </c>
      <c r="B207" s="12" t="s">
        <v>327</v>
      </c>
      <c r="C207" s="12" t="s">
        <v>328</v>
      </c>
      <c r="D207" s="12" t="s">
        <v>775</v>
      </c>
      <c r="E207" s="41"/>
      <c r="F207" s="13" t="s">
        <v>375</v>
      </c>
      <c r="G207" s="41"/>
      <c r="H207" s="13"/>
      <c r="I207" s="10"/>
    </row>
    <row r="208" spans="1:9" ht="25" x14ac:dyDescent="0.35">
      <c r="A208" s="17" t="s">
        <v>776</v>
      </c>
      <c r="B208" s="12" t="s">
        <v>327</v>
      </c>
      <c r="C208" s="12" t="s">
        <v>328</v>
      </c>
      <c r="D208" s="12" t="s">
        <v>777</v>
      </c>
      <c r="E208" s="41"/>
      <c r="F208" s="13" t="s">
        <v>375</v>
      </c>
      <c r="G208" s="41"/>
      <c r="H208" s="13"/>
      <c r="I208" s="10"/>
    </row>
    <row r="209" spans="1:9" x14ac:dyDescent="0.35">
      <c r="A209" s="17" t="s">
        <v>778</v>
      </c>
      <c r="B209" s="12" t="s">
        <v>330</v>
      </c>
      <c r="C209" s="12" t="s">
        <v>331</v>
      </c>
      <c r="D209" s="12" t="s">
        <v>779</v>
      </c>
      <c r="E209" s="41"/>
      <c r="F209" s="13" t="s">
        <v>375</v>
      </c>
      <c r="G209" s="41"/>
      <c r="H209" s="13"/>
      <c r="I209" s="10"/>
    </row>
    <row r="210" spans="1:9" x14ac:dyDescent="0.35">
      <c r="A210" s="17" t="s">
        <v>780</v>
      </c>
      <c r="B210" s="12" t="s">
        <v>330</v>
      </c>
      <c r="C210" s="12" t="s">
        <v>331</v>
      </c>
      <c r="D210" s="12" t="s">
        <v>781</v>
      </c>
      <c r="E210" s="41"/>
      <c r="F210" s="13" t="s">
        <v>375</v>
      </c>
      <c r="G210" s="41"/>
      <c r="H210" s="13"/>
      <c r="I210" s="10"/>
    </row>
    <row r="211" spans="1:9" x14ac:dyDescent="0.35">
      <c r="A211" s="17" t="s">
        <v>782</v>
      </c>
      <c r="B211" s="12" t="s">
        <v>330</v>
      </c>
      <c r="C211" s="12" t="s">
        <v>331</v>
      </c>
      <c r="D211" s="12" t="s">
        <v>783</v>
      </c>
      <c r="E211" s="41"/>
      <c r="F211" s="13" t="s">
        <v>375</v>
      </c>
      <c r="G211" s="41"/>
      <c r="H211" s="13"/>
      <c r="I211" s="10"/>
    </row>
    <row r="212" spans="1:9" x14ac:dyDescent="0.35">
      <c r="A212" s="17" t="s">
        <v>784</v>
      </c>
      <c r="B212" s="12" t="s">
        <v>330</v>
      </c>
      <c r="C212" s="12" t="s">
        <v>331</v>
      </c>
      <c r="D212" s="12" t="s">
        <v>785</v>
      </c>
      <c r="E212" s="41"/>
      <c r="F212" s="13" t="s">
        <v>375</v>
      </c>
      <c r="G212" s="41"/>
      <c r="H212" s="13"/>
      <c r="I212" s="10"/>
    </row>
    <row r="213" spans="1:9" ht="25" x14ac:dyDescent="0.35">
      <c r="A213" s="17" t="s">
        <v>786</v>
      </c>
      <c r="B213" s="12" t="s">
        <v>333</v>
      </c>
      <c r="C213" s="12" t="s">
        <v>334</v>
      </c>
      <c r="D213" s="12" t="s">
        <v>787</v>
      </c>
      <c r="E213" s="41"/>
      <c r="F213" s="13" t="s">
        <v>375</v>
      </c>
      <c r="G213" s="41"/>
      <c r="H213" s="13"/>
      <c r="I213" s="10"/>
    </row>
    <row r="214" spans="1:9" ht="25" x14ac:dyDescent="0.35">
      <c r="A214" s="17" t="s">
        <v>788</v>
      </c>
      <c r="B214" s="12" t="s">
        <v>333</v>
      </c>
      <c r="C214" s="12" t="s">
        <v>334</v>
      </c>
      <c r="D214" s="12" t="s">
        <v>789</v>
      </c>
      <c r="E214" s="41"/>
      <c r="F214" s="13" t="s">
        <v>375</v>
      </c>
      <c r="G214" s="41"/>
      <c r="H214" s="13"/>
      <c r="I214" s="10"/>
    </row>
    <row r="215" spans="1:9" ht="25" x14ac:dyDescent="0.35">
      <c r="A215" s="17" t="s">
        <v>790</v>
      </c>
      <c r="B215" s="12" t="s">
        <v>333</v>
      </c>
      <c r="C215" s="12" t="s">
        <v>334</v>
      </c>
      <c r="D215" s="12" t="s">
        <v>791</v>
      </c>
      <c r="E215" s="41"/>
      <c r="F215" s="13" t="s">
        <v>375</v>
      </c>
      <c r="G215" s="41"/>
      <c r="H215" s="13"/>
      <c r="I215" s="10"/>
    </row>
    <row r="216" spans="1:9" ht="25" x14ac:dyDescent="0.35">
      <c r="A216" s="17" t="s">
        <v>792</v>
      </c>
      <c r="B216" s="12" t="s">
        <v>333</v>
      </c>
      <c r="C216" s="12" t="s">
        <v>334</v>
      </c>
      <c r="D216" s="12" t="s">
        <v>793</v>
      </c>
      <c r="E216" s="41"/>
      <c r="F216" s="13" t="s">
        <v>375</v>
      </c>
      <c r="G216" s="41"/>
      <c r="H216" s="13"/>
      <c r="I216" s="10"/>
    </row>
    <row r="217" spans="1:9" ht="25" x14ac:dyDescent="0.35">
      <c r="A217" s="17" t="s">
        <v>794</v>
      </c>
      <c r="B217" s="12" t="s">
        <v>336</v>
      </c>
      <c r="C217" s="12" t="s">
        <v>337</v>
      </c>
      <c r="D217" s="12" t="s">
        <v>795</v>
      </c>
      <c r="E217" s="41"/>
      <c r="F217" s="13" t="s">
        <v>375</v>
      </c>
      <c r="G217" s="41"/>
      <c r="H217" s="13"/>
      <c r="I217" s="10"/>
    </row>
    <row r="218" spans="1:9" ht="25" x14ac:dyDescent="0.35">
      <c r="A218" s="17" t="s">
        <v>796</v>
      </c>
      <c r="B218" s="12" t="s">
        <v>336</v>
      </c>
      <c r="C218" s="12" t="s">
        <v>337</v>
      </c>
      <c r="D218" s="12" t="s">
        <v>797</v>
      </c>
      <c r="E218" s="41"/>
      <c r="F218" s="13" t="s">
        <v>375</v>
      </c>
      <c r="G218" s="41"/>
      <c r="H218" s="13"/>
      <c r="I218" s="10"/>
    </row>
    <row r="219" spans="1:9" ht="25" x14ac:dyDescent="0.35">
      <c r="A219" s="17" t="s">
        <v>798</v>
      </c>
      <c r="B219" s="12" t="s">
        <v>336</v>
      </c>
      <c r="C219" s="12" t="s">
        <v>337</v>
      </c>
      <c r="D219" s="12" t="s">
        <v>799</v>
      </c>
      <c r="E219" s="41"/>
      <c r="F219" s="13" t="s">
        <v>375</v>
      </c>
      <c r="G219" s="41"/>
      <c r="H219" s="13"/>
      <c r="I219" s="10"/>
    </row>
    <row r="220" spans="1:9" ht="25" x14ac:dyDescent="0.35">
      <c r="A220" s="17" t="s">
        <v>800</v>
      </c>
      <c r="B220" s="12" t="s">
        <v>339</v>
      </c>
      <c r="C220" s="12" t="s">
        <v>340</v>
      </c>
      <c r="D220" s="12" t="s">
        <v>801</v>
      </c>
      <c r="E220" s="41"/>
      <c r="F220" s="13" t="s">
        <v>375</v>
      </c>
      <c r="G220" s="41"/>
      <c r="H220" s="13"/>
      <c r="I220" s="10"/>
    </row>
    <row r="221" spans="1:9" ht="25" x14ac:dyDescent="0.35">
      <c r="A221" s="17" t="s">
        <v>802</v>
      </c>
      <c r="B221" s="12" t="s">
        <v>339</v>
      </c>
      <c r="C221" s="12" t="s">
        <v>340</v>
      </c>
      <c r="D221" s="12" t="s">
        <v>803</v>
      </c>
      <c r="E221" s="41"/>
      <c r="F221" s="13" t="s">
        <v>375</v>
      </c>
      <c r="G221" s="41"/>
      <c r="H221" s="13"/>
      <c r="I221" s="10"/>
    </row>
    <row r="222" spans="1:9" ht="25" x14ac:dyDescent="0.35">
      <c r="A222" s="17" t="s">
        <v>804</v>
      </c>
      <c r="B222" s="12" t="s">
        <v>339</v>
      </c>
      <c r="C222" s="12" t="s">
        <v>340</v>
      </c>
      <c r="D222" s="12" t="s">
        <v>805</v>
      </c>
      <c r="E222" s="41"/>
      <c r="F222" s="13" t="s">
        <v>375</v>
      </c>
      <c r="G222" s="41"/>
      <c r="H222" s="13"/>
      <c r="I222" s="10"/>
    </row>
    <row r="223" spans="1:9" ht="25" x14ac:dyDescent="0.35">
      <c r="A223" s="17" t="s">
        <v>806</v>
      </c>
      <c r="B223" s="12" t="s">
        <v>339</v>
      </c>
      <c r="C223" s="12" t="s">
        <v>340</v>
      </c>
      <c r="D223" s="12" t="s">
        <v>807</v>
      </c>
      <c r="E223" s="41"/>
      <c r="F223" s="13" t="s">
        <v>375</v>
      </c>
      <c r="G223" s="41"/>
      <c r="H223" s="13"/>
      <c r="I223" s="10"/>
    </row>
    <row r="224" spans="1:9" ht="25" x14ac:dyDescent="0.35">
      <c r="A224" s="17" t="s">
        <v>808</v>
      </c>
      <c r="B224" s="12" t="s">
        <v>342</v>
      </c>
      <c r="C224" s="12" t="s">
        <v>343</v>
      </c>
      <c r="D224" s="12" t="s">
        <v>809</v>
      </c>
      <c r="E224" s="41"/>
      <c r="F224" s="13" t="s">
        <v>375</v>
      </c>
      <c r="G224" s="41"/>
      <c r="H224" s="13"/>
      <c r="I224" s="10"/>
    </row>
    <row r="225" spans="1:9" ht="25" x14ac:dyDescent="0.35">
      <c r="A225" s="17" t="s">
        <v>810</v>
      </c>
      <c r="B225" s="12" t="s">
        <v>342</v>
      </c>
      <c r="C225" s="12" t="s">
        <v>343</v>
      </c>
      <c r="D225" s="12" t="s">
        <v>811</v>
      </c>
      <c r="E225" s="41"/>
      <c r="F225" s="13" t="s">
        <v>375</v>
      </c>
      <c r="G225" s="41"/>
      <c r="H225" s="13"/>
      <c r="I225" s="10"/>
    </row>
    <row r="226" spans="1:9" ht="25" x14ac:dyDescent="0.35">
      <c r="A226" s="17" t="s">
        <v>812</v>
      </c>
      <c r="B226" s="12" t="s">
        <v>342</v>
      </c>
      <c r="C226" s="12" t="s">
        <v>343</v>
      </c>
      <c r="D226" s="12" t="s">
        <v>813</v>
      </c>
      <c r="E226" s="41"/>
      <c r="F226" s="13" t="s">
        <v>375</v>
      </c>
      <c r="G226" s="41"/>
      <c r="H226" s="13"/>
      <c r="I226" s="10"/>
    </row>
    <row r="227" spans="1:9" ht="25" x14ac:dyDescent="0.35">
      <c r="A227" s="17" t="s">
        <v>814</v>
      </c>
      <c r="B227" s="12" t="s">
        <v>342</v>
      </c>
      <c r="C227" s="12" t="s">
        <v>343</v>
      </c>
      <c r="D227" s="12" t="s">
        <v>815</v>
      </c>
      <c r="E227" s="41"/>
      <c r="F227" s="13" t="s">
        <v>375</v>
      </c>
      <c r="G227" s="41"/>
      <c r="H227" s="13"/>
      <c r="I227" s="10"/>
    </row>
    <row r="228" spans="1:9" ht="25" x14ac:dyDescent="0.35">
      <c r="A228" s="17" t="s">
        <v>816</v>
      </c>
      <c r="B228" s="12" t="s">
        <v>342</v>
      </c>
      <c r="C228" s="12" t="s">
        <v>343</v>
      </c>
      <c r="D228" s="12" t="s">
        <v>817</v>
      </c>
      <c r="E228" s="41"/>
      <c r="F228" s="13" t="s">
        <v>375</v>
      </c>
      <c r="G228" s="41"/>
      <c r="H228" s="13"/>
      <c r="I228" s="10"/>
    </row>
    <row r="229" spans="1:9" ht="37.5" x14ac:dyDescent="0.35">
      <c r="A229" s="17" t="s">
        <v>818</v>
      </c>
      <c r="B229" s="12" t="s">
        <v>345</v>
      </c>
      <c r="C229" s="12" t="s">
        <v>346</v>
      </c>
      <c r="D229" s="12" t="s">
        <v>819</v>
      </c>
      <c r="E229" s="41"/>
      <c r="F229" s="13" t="s">
        <v>375</v>
      </c>
      <c r="G229" s="41"/>
      <c r="H229" s="13"/>
      <c r="I229" s="10"/>
    </row>
    <row r="230" spans="1:9" ht="37.5" x14ac:dyDescent="0.35">
      <c r="A230" s="17" t="s">
        <v>820</v>
      </c>
      <c r="B230" s="12" t="s">
        <v>345</v>
      </c>
      <c r="C230" s="12" t="s">
        <v>346</v>
      </c>
      <c r="D230" s="12" t="s">
        <v>821</v>
      </c>
      <c r="E230" s="41"/>
      <c r="F230" s="13" t="s">
        <v>375</v>
      </c>
      <c r="G230" s="41"/>
      <c r="H230" s="13"/>
      <c r="I230" s="10"/>
    </row>
    <row r="231" spans="1:9" ht="37.5" x14ac:dyDescent="0.35">
      <c r="A231" s="17" t="s">
        <v>822</v>
      </c>
      <c r="B231" s="12" t="s">
        <v>345</v>
      </c>
      <c r="C231" s="12" t="s">
        <v>346</v>
      </c>
      <c r="D231" s="12" t="s">
        <v>823</v>
      </c>
      <c r="E231" s="41"/>
      <c r="F231" s="13" t="s">
        <v>375</v>
      </c>
      <c r="G231" s="41"/>
      <c r="H231" s="13"/>
      <c r="I231" s="10"/>
    </row>
    <row r="232" spans="1:9" ht="37.5" x14ac:dyDescent="0.35">
      <c r="A232" s="17" t="s">
        <v>824</v>
      </c>
      <c r="B232" s="12" t="s">
        <v>345</v>
      </c>
      <c r="C232" s="12" t="s">
        <v>346</v>
      </c>
      <c r="D232" s="12" t="s">
        <v>825</v>
      </c>
      <c r="E232" s="41"/>
      <c r="F232" s="13" t="s">
        <v>375</v>
      </c>
      <c r="G232" s="41"/>
      <c r="H232" s="13"/>
      <c r="I232" s="10"/>
    </row>
    <row r="233" spans="1:9" ht="37.5" x14ac:dyDescent="0.35">
      <c r="A233" s="17" t="s">
        <v>826</v>
      </c>
      <c r="B233" s="12" t="s">
        <v>348</v>
      </c>
      <c r="C233" s="12" t="s">
        <v>349</v>
      </c>
      <c r="D233" s="12" t="s">
        <v>827</v>
      </c>
      <c r="E233" s="41"/>
      <c r="F233" s="13" t="s">
        <v>375</v>
      </c>
      <c r="G233" s="41"/>
      <c r="H233" s="13"/>
      <c r="I233" s="10"/>
    </row>
    <row r="234" spans="1:9" ht="37.5" x14ac:dyDescent="0.35">
      <c r="A234" s="17" t="s">
        <v>828</v>
      </c>
      <c r="B234" s="12" t="s">
        <v>348</v>
      </c>
      <c r="C234" s="12" t="s">
        <v>349</v>
      </c>
      <c r="D234" s="12" t="s">
        <v>829</v>
      </c>
      <c r="E234" s="41"/>
      <c r="F234" s="13" t="s">
        <v>375</v>
      </c>
      <c r="G234" s="41"/>
      <c r="H234" s="13"/>
      <c r="I234" s="10"/>
    </row>
    <row r="235" spans="1:9" ht="37.5" x14ac:dyDescent="0.35">
      <c r="A235" s="17" t="s">
        <v>830</v>
      </c>
      <c r="B235" s="12" t="s">
        <v>348</v>
      </c>
      <c r="C235" s="12" t="s">
        <v>349</v>
      </c>
      <c r="D235" s="12" t="s">
        <v>831</v>
      </c>
      <c r="E235" s="41"/>
      <c r="F235" s="13" t="s">
        <v>375</v>
      </c>
      <c r="G235" s="41"/>
      <c r="H235" s="13"/>
      <c r="I235" s="10"/>
    </row>
    <row r="236" spans="1:9" ht="37.5" x14ac:dyDescent="0.35">
      <c r="A236" s="17" t="s">
        <v>832</v>
      </c>
      <c r="B236" s="12" t="s">
        <v>348</v>
      </c>
      <c r="C236" s="12" t="s">
        <v>349</v>
      </c>
      <c r="D236" s="12" t="s">
        <v>833</v>
      </c>
      <c r="E236" s="41"/>
      <c r="F236" s="13" t="s">
        <v>375</v>
      </c>
      <c r="G236" s="41"/>
      <c r="H236" s="13"/>
      <c r="I236" s="10"/>
    </row>
    <row r="237" spans="1:9" ht="37.5" x14ac:dyDescent="0.35">
      <c r="A237" s="17" t="s">
        <v>834</v>
      </c>
      <c r="B237" s="12" t="s">
        <v>348</v>
      </c>
      <c r="C237" s="12" t="s">
        <v>349</v>
      </c>
      <c r="D237" s="12" t="s">
        <v>835</v>
      </c>
      <c r="E237" s="41"/>
      <c r="F237" s="13" t="s">
        <v>375</v>
      </c>
      <c r="G237" s="41"/>
      <c r="H237" s="13"/>
      <c r="I237" s="10"/>
    </row>
    <row r="238" spans="1:9" ht="25" x14ac:dyDescent="0.35">
      <c r="A238" s="17" t="s">
        <v>836</v>
      </c>
      <c r="B238" s="12" t="s">
        <v>351</v>
      </c>
      <c r="C238" s="12" t="s">
        <v>352</v>
      </c>
      <c r="D238" s="12" t="s">
        <v>837</v>
      </c>
      <c r="E238" s="41"/>
      <c r="F238" s="13" t="s">
        <v>375</v>
      </c>
      <c r="G238" s="41"/>
      <c r="H238" s="13"/>
      <c r="I238" s="10"/>
    </row>
    <row r="239" spans="1:9" ht="25" x14ac:dyDescent="0.35">
      <c r="A239" s="17" t="s">
        <v>838</v>
      </c>
      <c r="B239" s="12" t="s">
        <v>351</v>
      </c>
      <c r="C239" s="12" t="s">
        <v>352</v>
      </c>
      <c r="D239" s="12" t="s">
        <v>775</v>
      </c>
      <c r="E239" s="41"/>
      <c r="F239" s="13" t="s">
        <v>375</v>
      </c>
      <c r="G239" s="41"/>
      <c r="H239" s="13"/>
      <c r="I239" s="10"/>
    </row>
    <row r="240" spans="1:9" ht="25" x14ac:dyDescent="0.35">
      <c r="A240" s="17" t="s">
        <v>839</v>
      </c>
      <c r="B240" s="12" t="s">
        <v>351</v>
      </c>
      <c r="C240" s="12" t="s">
        <v>352</v>
      </c>
      <c r="D240" s="12" t="s">
        <v>840</v>
      </c>
      <c r="E240" s="41"/>
      <c r="F240" s="13" t="s">
        <v>375</v>
      </c>
      <c r="G240" s="41"/>
      <c r="H240" s="13"/>
      <c r="I240" s="10"/>
    </row>
    <row r="241" spans="1:9" ht="25" x14ac:dyDescent="0.35">
      <c r="A241" s="17" t="s">
        <v>841</v>
      </c>
      <c r="B241" s="12" t="s">
        <v>351</v>
      </c>
      <c r="C241" s="12" t="s">
        <v>352</v>
      </c>
      <c r="D241" s="12" t="s">
        <v>842</v>
      </c>
      <c r="E241" s="41"/>
      <c r="F241" s="13" t="s">
        <v>375</v>
      </c>
      <c r="G241" s="41"/>
      <c r="H241" s="13"/>
      <c r="I241" s="10"/>
    </row>
    <row r="242" spans="1:9" ht="25" x14ac:dyDescent="0.35">
      <c r="A242" s="17" t="s">
        <v>843</v>
      </c>
      <c r="B242" s="12" t="s">
        <v>351</v>
      </c>
      <c r="C242" s="12" t="s">
        <v>352</v>
      </c>
      <c r="D242" s="12" t="s">
        <v>844</v>
      </c>
      <c r="E242" s="41"/>
      <c r="F242" s="13" t="s">
        <v>375</v>
      </c>
      <c r="G242" s="41"/>
      <c r="H242" s="13"/>
      <c r="I242" s="10"/>
    </row>
    <row r="243" spans="1:9" ht="25" x14ac:dyDescent="0.35">
      <c r="A243" s="17" t="s">
        <v>845</v>
      </c>
      <c r="B243" s="12" t="s">
        <v>354</v>
      </c>
      <c r="C243" s="12" t="s">
        <v>355</v>
      </c>
      <c r="D243" s="12" t="s">
        <v>846</v>
      </c>
      <c r="E243" s="41"/>
      <c r="F243" s="13" t="s">
        <v>375</v>
      </c>
      <c r="G243" s="41"/>
      <c r="H243" s="13"/>
      <c r="I243" s="10"/>
    </row>
    <row r="244" spans="1:9" ht="25" x14ac:dyDescent="0.35">
      <c r="A244" s="17" t="s">
        <v>847</v>
      </c>
      <c r="B244" s="12" t="s">
        <v>354</v>
      </c>
      <c r="C244" s="12" t="s">
        <v>355</v>
      </c>
      <c r="D244" s="12" t="s">
        <v>848</v>
      </c>
      <c r="E244" s="41"/>
      <c r="F244" s="13" t="s">
        <v>375</v>
      </c>
      <c r="G244" s="41"/>
      <c r="H244" s="13"/>
      <c r="I244" s="10"/>
    </row>
    <row r="245" spans="1:9" ht="25" x14ac:dyDescent="0.35">
      <c r="A245" s="17" t="s">
        <v>849</v>
      </c>
      <c r="B245" s="12" t="s">
        <v>354</v>
      </c>
      <c r="C245" s="12" t="s">
        <v>355</v>
      </c>
      <c r="D245" s="12" t="s">
        <v>850</v>
      </c>
      <c r="E245" s="41"/>
      <c r="F245" s="13" t="s">
        <v>375</v>
      </c>
      <c r="G245" s="41"/>
      <c r="H245" s="13"/>
      <c r="I245" s="10"/>
    </row>
    <row r="246" spans="1:9" ht="25" x14ac:dyDescent="0.35">
      <c r="A246" s="17" t="s">
        <v>851</v>
      </c>
      <c r="B246" s="12" t="s">
        <v>354</v>
      </c>
      <c r="C246" s="12" t="s">
        <v>355</v>
      </c>
      <c r="D246" s="12" t="s">
        <v>852</v>
      </c>
      <c r="E246" s="41"/>
      <c r="F246" s="13" t="s">
        <v>375</v>
      </c>
      <c r="G246" s="41"/>
      <c r="H246" s="13"/>
      <c r="I246" s="10"/>
    </row>
    <row r="247" spans="1:9" ht="25" x14ac:dyDescent="0.35">
      <c r="A247" s="17" t="s">
        <v>853</v>
      </c>
      <c r="B247" s="12" t="s">
        <v>354</v>
      </c>
      <c r="C247" s="12" t="s">
        <v>355</v>
      </c>
      <c r="D247" s="12" t="s">
        <v>854</v>
      </c>
      <c r="E247" s="41"/>
      <c r="F247" s="13" t="s">
        <v>375</v>
      </c>
      <c r="G247" s="41"/>
      <c r="H247" s="13"/>
      <c r="I247" s="10"/>
    </row>
    <row r="248" spans="1:9" ht="25" x14ac:dyDescent="0.35">
      <c r="A248" s="17" t="s">
        <v>855</v>
      </c>
      <c r="B248" s="12" t="s">
        <v>357</v>
      </c>
      <c r="C248" s="12" t="s">
        <v>358</v>
      </c>
      <c r="D248" s="12" t="s">
        <v>856</v>
      </c>
      <c r="E248" s="41"/>
      <c r="F248" s="13" t="s">
        <v>375</v>
      </c>
      <c r="G248" s="41"/>
      <c r="H248" s="13"/>
      <c r="I248" s="10"/>
    </row>
    <row r="249" spans="1:9" ht="25" x14ac:dyDescent="0.35">
      <c r="A249" s="17" t="s">
        <v>857</v>
      </c>
      <c r="B249" s="12" t="s">
        <v>357</v>
      </c>
      <c r="C249" s="12" t="s">
        <v>358</v>
      </c>
      <c r="D249" s="12" t="s">
        <v>858</v>
      </c>
      <c r="E249" s="41"/>
      <c r="F249" s="13" t="s">
        <v>375</v>
      </c>
      <c r="G249" s="41"/>
      <c r="H249" s="13"/>
      <c r="I249" s="10"/>
    </row>
    <row r="250" spans="1:9" ht="25" x14ac:dyDescent="0.35">
      <c r="A250" s="17" t="s">
        <v>859</v>
      </c>
      <c r="B250" s="12" t="s">
        <v>357</v>
      </c>
      <c r="C250" s="12" t="s">
        <v>358</v>
      </c>
      <c r="D250" s="12" t="s">
        <v>860</v>
      </c>
      <c r="E250" s="41"/>
      <c r="F250" s="13" t="s">
        <v>375</v>
      </c>
      <c r="G250" s="41"/>
      <c r="H250" s="13"/>
      <c r="I250" s="10"/>
    </row>
    <row r="251" spans="1:9" ht="25" x14ac:dyDescent="0.35">
      <c r="A251" s="17" t="s">
        <v>861</v>
      </c>
      <c r="B251" s="12" t="s">
        <v>357</v>
      </c>
      <c r="C251" s="12" t="s">
        <v>358</v>
      </c>
      <c r="D251" s="12" t="s">
        <v>862</v>
      </c>
      <c r="E251" s="41"/>
      <c r="F251" s="13" t="s">
        <v>375</v>
      </c>
      <c r="G251" s="41"/>
      <c r="H251" s="13"/>
      <c r="I251" s="10"/>
    </row>
    <row r="252" spans="1:9" ht="25" x14ac:dyDescent="0.35">
      <c r="A252" s="17" t="s">
        <v>863</v>
      </c>
      <c r="B252" s="12" t="s">
        <v>360</v>
      </c>
      <c r="C252" s="12" t="s">
        <v>361</v>
      </c>
      <c r="D252" s="12" t="s">
        <v>864</v>
      </c>
      <c r="E252" s="41"/>
      <c r="F252" s="13" t="s">
        <v>375</v>
      </c>
      <c r="G252" s="41"/>
      <c r="H252" s="13"/>
      <c r="I252" s="10"/>
    </row>
    <row r="253" spans="1:9" ht="25" x14ac:dyDescent="0.35">
      <c r="A253" s="17" t="s">
        <v>865</v>
      </c>
      <c r="B253" s="12" t="s">
        <v>360</v>
      </c>
      <c r="C253" s="12" t="s">
        <v>361</v>
      </c>
      <c r="D253" s="12" t="s">
        <v>866</v>
      </c>
      <c r="E253" s="41"/>
      <c r="F253" s="13" t="s">
        <v>375</v>
      </c>
      <c r="G253" s="41"/>
      <c r="H253" s="13"/>
      <c r="I253" s="10"/>
    </row>
    <row r="254" spans="1:9" ht="25" x14ac:dyDescent="0.35">
      <c r="A254" s="17" t="s">
        <v>867</v>
      </c>
      <c r="B254" s="12" t="s">
        <v>360</v>
      </c>
      <c r="C254" s="12" t="s">
        <v>361</v>
      </c>
      <c r="D254" s="12" t="s">
        <v>868</v>
      </c>
      <c r="E254" s="41"/>
      <c r="F254" s="13" t="s">
        <v>375</v>
      </c>
      <c r="G254" s="41"/>
      <c r="H254" s="13"/>
      <c r="I254" s="10"/>
    </row>
    <row r="255" spans="1:9" ht="25" x14ac:dyDescent="0.35">
      <c r="A255" s="17" t="s">
        <v>869</v>
      </c>
      <c r="B255" s="12" t="s">
        <v>360</v>
      </c>
      <c r="C255" s="12" t="s">
        <v>361</v>
      </c>
      <c r="D255" s="12" t="s">
        <v>870</v>
      </c>
      <c r="E255" s="41"/>
      <c r="F255" s="13" t="s">
        <v>375</v>
      </c>
      <c r="G255" s="41"/>
      <c r="H255" s="13"/>
      <c r="I255" s="10"/>
    </row>
    <row r="256" spans="1:9" ht="25" x14ac:dyDescent="0.35">
      <c r="A256" s="17" t="s">
        <v>871</v>
      </c>
      <c r="B256" s="12" t="s">
        <v>360</v>
      </c>
      <c r="C256" s="12" t="s">
        <v>361</v>
      </c>
      <c r="D256" s="12" t="s">
        <v>872</v>
      </c>
      <c r="E256" s="41"/>
      <c r="F256" s="13" t="s">
        <v>375</v>
      </c>
      <c r="G256" s="41"/>
      <c r="H256" s="13"/>
      <c r="I256" s="10"/>
    </row>
    <row r="257" spans="1:9" ht="25" x14ac:dyDescent="0.35">
      <c r="A257" s="17" t="s">
        <v>873</v>
      </c>
      <c r="B257" s="12" t="s">
        <v>363</v>
      </c>
      <c r="C257" s="12" t="s">
        <v>364</v>
      </c>
      <c r="D257" s="12" t="s">
        <v>874</v>
      </c>
      <c r="E257" s="41"/>
      <c r="F257" s="13" t="s">
        <v>375</v>
      </c>
      <c r="G257" s="41"/>
      <c r="H257" s="13"/>
      <c r="I257" s="10"/>
    </row>
    <row r="258" spans="1:9" ht="25" x14ac:dyDescent="0.35">
      <c r="A258" s="17" t="s">
        <v>875</v>
      </c>
      <c r="B258" s="12" t="s">
        <v>363</v>
      </c>
      <c r="C258" s="12" t="s">
        <v>364</v>
      </c>
      <c r="D258" s="12" t="s">
        <v>876</v>
      </c>
      <c r="E258" s="41"/>
      <c r="F258" s="13" t="s">
        <v>375</v>
      </c>
      <c r="G258" s="41"/>
      <c r="H258" s="13"/>
      <c r="I258" s="10"/>
    </row>
    <row r="259" spans="1:9" ht="25" x14ac:dyDescent="0.35">
      <c r="A259" s="17" t="s">
        <v>877</v>
      </c>
      <c r="B259" s="12" t="s">
        <v>363</v>
      </c>
      <c r="C259" s="12" t="s">
        <v>364</v>
      </c>
      <c r="D259" s="12" t="s">
        <v>878</v>
      </c>
      <c r="E259" s="41"/>
      <c r="F259" s="13" t="s">
        <v>375</v>
      </c>
      <c r="G259" s="41"/>
      <c r="H259" s="13"/>
      <c r="I259" s="10"/>
    </row>
    <row r="260" spans="1:9" ht="25" x14ac:dyDescent="0.35">
      <c r="A260" s="17" t="s">
        <v>879</v>
      </c>
      <c r="B260" s="12" t="s">
        <v>363</v>
      </c>
      <c r="C260" s="12" t="s">
        <v>364</v>
      </c>
      <c r="D260" s="12" t="s">
        <v>880</v>
      </c>
      <c r="E260" s="41"/>
      <c r="F260" s="13" t="s">
        <v>375</v>
      </c>
      <c r="G260" s="41"/>
      <c r="H260" s="13"/>
      <c r="I260" s="10"/>
    </row>
    <row r="261" spans="1:9" ht="25" x14ac:dyDescent="0.35">
      <c r="A261" s="17" t="s">
        <v>881</v>
      </c>
      <c r="B261" s="12" t="s">
        <v>363</v>
      </c>
      <c r="C261" s="12" t="s">
        <v>364</v>
      </c>
      <c r="D261" s="12" t="s">
        <v>882</v>
      </c>
      <c r="E261" s="41"/>
      <c r="F261" s="13" t="s">
        <v>375</v>
      </c>
      <c r="G261" s="41"/>
      <c r="H261" s="13"/>
      <c r="I261" s="10"/>
    </row>
  </sheetData>
  <autoFilter ref="A4:I261" xr:uid="{00000000-0009-0000-0000-000004000000}"/>
  <conditionalFormatting sqref="F5:F261">
    <cfRule type="cellIs" dxfId="29" priority="2" operator="equal">
      <formula>"Received"</formula>
    </cfRule>
    <cfRule type="cellIs" dxfId="28" priority="3" operator="equal">
      <formula>"Not available"</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1">
        <x14:dataValidation type="list" allowBlank="1" showErrorMessage="1" error="Choose a value from the list" xr:uid="{00000000-0002-0000-0400-000000000000}">
          <x14:formula1>
            <xm:f>Lists!$L$4:$L$9</xm:f>
          </x14:formula1>
          <x14:formula2>
            <xm:f>0</xm:f>
          </x14:formula2>
          <xm:sqref>F5:F261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N20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x14ac:dyDescent="0.35"/>
  <cols>
    <col min="1" max="1" width="12" customWidth="1"/>
    <col min="2" max="2" width="14" customWidth="1"/>
    <col min="3" max="3" width="34" customWidth="1"/>
    <col min="4" max="4" width="20" customWidth="1"/>
    <col min="5" max="5" width="44" customWidth="1"/>
    <col min="6" max="6" width="24" customWidth="1"/>
    <col min="7" max="8" width="16" customWidth="1"/>
    <col min="9" max="9" width="13" customWidth="1"/>
    <col min="10" max="10" width="36" customWidth="1"/>
    <col min="11" max="11" width="24" customWidth="1"/>
    <col min="12" max="12" width="16" customWidth="1"/>
    <col min="13" max="14" width="14" customWidth="1"/>
  </cols>
  <sheetData>
    <row r="1" spans="1:14" ht="20" x14ac:dyDescent="0.4">
      <c r="A1" s="8" t="s">
        <v>883</v>
      </c>
    </row>
    <row r="2" spans="1:14" x14ac:dyDescent="0.35">
      <c r="A2" s="6" t="s">
        <v>884</v>
      </c>
    </row>
    <row r="4" spans="1:14" ht="31.5" customHeight="1" x14ac:dyDescent="0.35">
      <c r="A4" s="11" t="s">
        <v>372</v>
      </c>
      <c r="B4" s="11" t="s">
        <v>134</v>
      </c>
      <c r="C4" s="11" t="s">
        <v>164</v>
      </c>
      <c r="D4" s="11" t="s">
        <v>885</v>
      </c>
      <c r="E4" s="11" t="s">
        <v>886</v>
      </c>
      <c r="F4" s="11" t="s">
        <v>887</v>
      </c>
      <c r="G4" s="11" t="s">
        <v>888</v>
      </c>
      <c r="H4" s="11" t="s">
        <v>889</v>
      </c>
      <c r="I4" s="11" t="s">
        <v>890</v>
      </c>
      <c r="J4" s="11" t="s">
        <v>891</v>
      </c>
      <c r="K4" s="11" t="s">
        <v>892</v>
      </c>
      <c r="L4" s="11" t="s">
        <v>41</v>
      </c>
      <c r="M4" s="11" t="s">
        <v>893</v>
      </c>
      <c r="N4" s="11" t="s">
        <v>894</v>
      </c>
    </row>
    <row r="5" spans="1:14" ht="26" x14ac:dyDescent="0.35">
      <c r="A5" s="22" t="s">
        <v>895</v>
      </c>
      <c r="B5" s="22" t="s">
        <v>237</v>
      </c>
      <c r="C5" s="22" t="str">
        <f>IFERROR(INDEX(Assessment!$E$5:$E$2000,MATCH(B5,Assessment!$A$5:$A$2000,0)),"")</f>
        <v>Logs are forwarded in near real time to a central tamper-resistant store</v>
      </c>
      <c r="D5" s="22" t="s">
        <v>896</v>
      </c>
      <c r="E5" s="22" t="s">
        <v>897</v>
      </c>
      <c r="F5" s="22" t="s">
        <v>898</v>
      </c>
      <c r="G5" s="22" t="s">
        <v>899</v>
      </c>
      <c r="H5" s="22" t="s">
        <v>900</v>
      </c>
      <c r="I5" s="42">
        <v>46296</v>
      </c>
      <c r="J5" s="22" t="s">
        <v>901</v>
      </c>
      <c r="K5" s="22"/>
      <c r="L5" s="22" t="s">
        <v>902</v>
      </c>
      <c r="M5" s="22" t="s">
        <v>903</v>
      </c>
      <c r="N5" s="22" t="s">
        <v>904</v>
      </c>
    </row>
    <row r="6" spans="1:14" x14ac:dyDescent="0.35">
      <c r="A6" s="10"/>
      <c r="B6" s="10"/>
      <c r="C6" s="43" t="str">
        <f>IF(B6="","",IFERROR(INDEX(Assessment!$E$5:$E$2000,MATCH(B6,Assessment!$A$5:$A$2000,0)),"Not found"))</f>
        <v/>
      </c>
      <c r="D6" s="10"/>
      <c r="E6" s="10"/>
      <c r="F6" s="10"/>
      <c r="G6" s="10"/>
      <c r="H6" s="10"/>
      <c r="I6" s="14"/>
      <c r="J6" s="10"/>
      <c r="K6" s="10"/>
      <c r="L6" s="10"/>
      <c r="M6" s="10"/>
      <c r="N6" s="10"/>
    </row>
    <row r="7" spans="1:14" x14ac:dyDescent="0.35">
      <c r="A7" s="10"/>
      <c r="B7" s="10"/>
      <c r="C7" s="43" t="str">
        <f>IF(B7="","",IFERROR(INDEX(Assessment!$E$5:$E$2000,MATCH(B7,Assessment!$A$5:$A$2000,0)),"Not found"))</f>
        <v/>
      </c>
      <c r="D7" s="10"/>
      <c r="E7" s="10"/>
      <c r="F7" s="10"/>
      <c r="G7" s="10"/>
      <c r="H7" s="10"/>
      <c r="I7" s="14"/>
      <c r="J7" s="10"/>
      <c r="K7" s="10"/>
      <c r="L7" s="10"/>
      <c r="M7" s="10"/>
      <c r="N7" s="10"/>
    </row>
    <row r="8" spans="1:14" x14ac:dyDescent="0.35">
      <c r="A8" s="10"/>
      <c r="B8" s="10"/>
      <c r="C8" s="43" t="str">
        <f>IF(B8="","",IFERROR(INDEX(Assessment!$E$5:$E$2000,MATCH(B8,Assessment!$A$5:$A$2000,0)),"Not found"))</f>
        <v/>
      </c>
      <c r="D8" s="10"/>
      <c r="E8" s="10"/>
      <c r="F8" s="10"/>
      <c r="G8" s="10"/>
      <c r="H8" s="10"/>
      <c r="I8" s="14"/>
      <c r="J8" s="10"/>
      <c r="K8" s="10"/>
      <c r="L8" s="10"/>
      <c r="M8" s="10"/>
      <c r="N8" s="10"/>
    </row>
    <row r="9" spans="1:14" x14ac:dyDescent="0.35">
      <c r="A9" s="10"/>
      <c r="B9" s="10"/>
      <c r="C9" s="43" t="str">
        <f>IF(B9="","",IFERROR(INDEX(Assessment!$E$5:$E$2000,MATCH(B9,Assessment!$A$5:$A$2000,0)),"Not found"))</f>
        <v/>
      </c>
      <c r="D9" s="10"/>
      <c r="E9" s="10"/>
      <c r="F9" s="10"/>
      <c r="G9" s="10"/>
      <c r="H9" s="10"/>
      <c r="I9" s="14"/>
      <c r="J9" s="10"/>
      <c r="K9" s="10"/>
      <c r="L9" s="10"/>
      <c r="M9" s="10"/>
      <c r="N9" s="10"/>
    </row>
    <row r="10" spans="1:14" x14ac:dyDescent="0.35">
      <c r="A10" s="10"/>
      <c r="B10" s="10"/>
      <c r="C10" s="43" t="str">
        <f>IF(B10="","",IFERROR(INDEX(Assessment!$E$5:$E$2000,MATCH(B10,Assessment!$A$5:$A$2000,0)),"Not found"))</f>
        <v/>
      </c>
      <c r="D10" s="10"/>
      <c r="E10" s="10"/>
      <c r="F10" s="10"/>
      <c r="G10" s="10"/>
      <c r="H10" s="10"/>
      <c r="I10" s="14"/>
      <c r="J10" s="10"/>
      <c r="K10" s="10"/>
      <c r="L10" s="10"/>
      <c r="M10" s="10"/>
      <c r="N10" s="10"/>
    </row>
    <row r="11" spans="1:14" x14ac:dyDescent="0.35">
      <c r="A11" s="10"/>
      <c r="B11" s="10"/>
      <c r="C11" s="43" t="str">
        <f>IF(B11="","",IFERROR(INDEX(Assessment!$E$5:$E$2000,MATCH(B11,Assessment!$A$5:$A$2000,0)),"Not found"))</f>
        <v/>
      </c>
      <c r="D11" s="10"/>
      <c r="E11" s="10"/>
      <c r="F11" s="10"/>
      <c r="G11" s="10"/>
      <c r="H11" s="10"/>
      <c r="I11" s="14"/>
      <c r="J11" s="10"/>
      <c r="K11" s="10"/>
      <c r="L11" s="10"/>
      <c r="M11" s="10"/>
      <c r="N11" s="10"/>
    </row>
    <row r="12" spans="1:14" x14ac:dyDescent="0.35">
      <c r="A12" s="10"/>
      <c r="B12" s="10"/>
      <c r="C12" s="43" t="str">
        <f>IF(B12="","",IFERROR(INDEX(Assessment!$E$5:$E$2000,MATCH(B12,Assessment!$A$5:$A$2000,0)),"Not found"))</f>
        <v/>
      </c>
      <c r="D12" s="10"/>
      <c r="E12" s="10"/>
      <c r="F12" s="10"/>
      <c r="G12" s="10"/>
      <c r="H12" s="10"/>
      <c r="I12" s="14"/>
      <c r="J12" s="10"/>
      <c r="K12" s="10"/>
      <c r="L12" s="10"/>
      <c r="M12" s="10"/>
      <c r="N12" s="10"/>
    </row>
    <row r="13" spans="1:14" x14ac:dyDescent="0.35">
      <c r="A13" s="10"/>
      <c r="B13" s="10"/>
      <c r="C13" s="43" t="str">
        <f>IF(B13="","",IFERROR(INDEX(Assessment!$E$5:$E$2000,MATCH(B13,Assessment!$A$5:$A$2000,0)),"Not found"))</f>
        <v/>
      </c>
      <c r="D13" s="10"/>
      <c r="E13" s="10"/>
      <c r="F13" s="10"/>
      <c r="G13" s="10"/>
      <c r="H13" s="10"/>
      <c r="I13" s="14"/>
      <c r="J13" s="10"/>
      <c r="K13" s="10"/>
      <c r="L13" s="10"/>
      <c r="M13" s="10"/>
      <c r="N13" s="10"/>
    </row>
    <row r="14" spans="1:14" x14ac:dyDescent="0.35">
      <c r="A14" s="10"/>
      <c r="B14" s="10"/>
      <c r="C14" s="43" t="str">
        <f>IF(B14="","",IFERROR(INDEX(Assessment!$E$5:$E$2000,MATCH(B14,Assessment!$A$5:$A$2000,0)),"Not found"))</f>
        <v/>
      </c>
      <c r="D14" s="10"/>
      <c r="E14" s="10"/>
      <c r="F14" s="10"/>
      <c r="G14" s="10"/>
      <c r="H14" s="10"/>
      <c r="I14" s="14"/>
      <c r="J14" s="10"/>
      <c r="K14" s="10"/>
      <c r="L14" s="10"/>
      <c r="M14" s="10"/>
      <c r="N14" s="10"/>
    </row>
    <row r="15" spans="1:14" x14ac:dyDescent="0.35">
      <c r="A15" s="10"/>
      <c r="B15" s="10"/>
      <c r="C15" s="43" t="str">
        <f>IF(B15="","",IFERROR(INDEX(Assessment!$E$5:$E$2000,MATCH(B15,Assessment!$A$5:$A$2000,0)),"Not found"))</f>
        <v/>
      </c>
      <c r="D15" s="10"/>
      <c r="E15" s="10"/>
      <c r="F15" s="10"/>
      <c r="G15" s="10"/>
      <c r="H15" s="10"/>
      <c r="I15" s="14"/>
      <c r="J15" s="10"/>
      <c r="K15" s="10"/>
      <c r="L15" s="10"/>
      <c r="M15" s="10"/>
      <c r="N15" s="10"/>
    </row>
    <row r="16" spans="1:14" x14ac:dyDescent="0.35">
      <c r="A16" s="10"/>
      <c r="B16" s="10"/>
      <c r="C16" s="43" t="str">
        <f>IF(B16="","",IFERROR(INDEX(Assessment!$E$5:$E$2000,MATCH(B16,Assessment!$A$5:$A$2000,0)),"Not found"))</f>
        <v/>
      </c>
      <c r="D16" s="10"/>
      <c r="E16" s="10"/>
      <c r="F16" s="10"/>
      <c r="G16" s="10"/>
      <c r="H16" s="10"/>
      <c r="I16" s="14"/>
      <c r="J16" s="10"/>
      <c r="K16" s="10"/>
      <c r="L16" s="10"/>
      <c r="M16" s="10"/>
      <c r="N16" s="10"/>
    </row>
    <row r="17" spans="1:14" x14ac:dyDescent="0.35">
      <c r="A17" s="10"/>
      <c r="B17" s="10"/>
      <c r="C17" s="43" t="str">
        <f>IF(B17="","",IFERROR(INDEX(Assessment!$E$5:$E$2000,MATCH(B17,Assessment!$A$5:$A$2000,0)),"Not found"))</f>
        <v/>
      </c>
      <c r="D17" s="10"/>
      <c r="E17" s="10"/>
      <c r="F17" s="10"/>
      <c r="G17" s="10"/>
      <c r="H17" s="10"/>
      <c r="I17" s="14"/>
      <c r="J17" s="10"/>
      <c r="K17" s="10"/>
      <c r="L17" s="10"/>
      <c r="M17" s="10"/>
      <c r="N17" s="10"/>
    </row>
    <row r="18" spans="1:14" x14ac:dyDescent="0.35">
      <c r="A18" s="10"/>
      <c r="B18" s="10"/>
      <c r="C18" s="43" t="str">
        <f>IF(B18="","",IFERROR(INDEX(Assessment!$E$5:$E$2000,MATCH(B18,Assessment!$A$5:$A$2000,0)),"Not found"))</f>
        <v/>
      </c>
      <c r="D18" s="10"/>
      <c r="E18" s="10"/>
      <c r="F18" s="10"/>
      <c r="G18" s="10"/>
      <c r="H18" s="10"/>
      <c r="I18" s="14"/>
      <c r="J18" s="10"/>
      <c r="K18" s="10"/>
      <c r="L18" s="10"/>
      <c r="M18" s="10"/>
      <c r="N18" s="10"/>
    </row>
    <row r="19" spans="1:14" x14ac:dyDescent="0.35">
      <c r="A19" s="10"/>
      <c r="B19" s="10"/>
      <c r="C19" s="43" t="str">
        <f>IF(B19="","",IFERROR(INDEX(Assessment!$E$5:$E$2000,MATCH(B19,Assessment!$A$5:$A$2000,0)),"Not found"))</f>
        <v/>
      </c>
      <c r="D19" s="10"/>
      <c r="E19" s="10"/>
      <c r="F19" s="10"/>
      <c r="G19" s="10"/>
      <c r="H19" s="10"/>
      <c r="I19" s="14"/>
      <c r="J19" s="10"/>
      <c r="K19" s="10"/>
      <c r="L19" s="10"/>
      <c r="M19" s="10"/>
      <c r="N19" s="10"/>
    </row>
    <row r="20" spans="1:14" x14ac:dyDescent="0.35">
      <c r="A20" s="10"/>
      <c r="B20" s="10"/>
      <c r="C20" s="43" t="str">
        <f>IF(B20="","",IFERROR(INDEX(Assessment!$E$5:$E$2000,MATCH(B20,Assessment!$A$5:$A$2000,0)),"Not found"))</f>
        <v/>
      </c>
      <c r="D20" s="10"/>
      <c r="E20" s="10"/>
      <c r="F20" s="10"/>
      <c r="G20" s="10"/>
      <c r="H20" s="10"/>
      <c r="I20" s="14"/>
      <c r="J20" s="10"/>
      <c r="K20" s="10"/>
      <c r="L20" s="10"/>
      <c r="M20" s="10"/>
      <c r="N20" s="10"/>
    </row>
    <row r="21" spans="1:14" x14ac:dyDescent="0.35">
      <c r="A21" s="10"/>
      <c r="B21" s="10"/>
      <c r="C21" s="43" t="str">
        <f>IF(B21="","",IFERROR(INDEX(Assessment!$E$5:$E$2000,MATCH(B21,Assessment!$A$5:$A$2000,0)),"Not found"))</f>
        <v/>
      </c>
      <c r="D21" s="10"/>
      <c r="E21" s="10"/>
      <c r="F21" s="10"/>
      <c r="G21" s="10"/>
      <c r="H21" s="10"/>
      <c r="I21" s="14"/>
      <c r="J21" s="10"/>
      <c r="K21" s="10"/>
      <c r="L21" s="10"/>
      <c r="M21" s="10"/>
      <c r="N21" s="10"/>
    </row>
    <row r="22" spans="1:14" x14ac:dyDescent="0.35">
      <c r="A22" s="10"/>
      <c r="B22" s="10"/>
      <c r="C22" s="43" t="str">
        <f>IF(B22="","",IFERROR(INDEX(Assessment!$E$5:$E$2000,MATCH(B22,Assessment!$A$5:$A$2000,0)),"Not found"))</f>
        <v/>
      </c>
      <c r="D22" s="10"/>
      <c r="E22" s="10"/>
      <c r="F22" s="10"/>
      <c r="G22" s="10"/>
      <c r="H22" s="10"/>
      <c r="I22" s="14"/>
      <c r="J22" s="10"/>
      <c r="K22" s="10"/>
      <c r="L22" s="10"/>
      <c r="M22" s="10"/>
      <c r="N22" s="10"/>
    </row>
    <row r="23" spans="1:14" x14ac:dyDescent="0.35">
      <c r="A23" s="10"/>
      <c r="B23" s="10"/>
      <c r="C23" s="43" t="str">
        <f>IF(B23="","",IFERROR(INDEX(Assessment!$E$5:$E$2000,MATCH(B23,Assessment!$A$5:$A$2000,0)),"Not found"))</f>
        <v/>
      </c>
      <c r="D23" s="10"/>
      <c r="E23" s="10"/>
      <c r="F23" s="10"/>
      <c r="G23" s="10"/>
      <c r="H23" s="10"/>
      <c r="I23" s="14"/>
      <c r="J23" s="10"/>
      <c r="K23" s="10"/>
      <c r="L23" s="10"/>
      <c r="M23" s="10"/>
      <c r="N23" s="10"/>
    </row>
    <row r="24" spans="1:14" x14ac:dyDescent="0.35">
      <c r="A24" s="10"/>
      <c r="B24" s="10"/>
      <c r="C24" s="43" t="str">
        <f>IF(B24="","",IFERROR(INDEX(Assessment!$E$5:$E$2000,MATCH(B24,Assessment!$A$5:$A$2000,0)),"Not found"))</f>
        <v/>
      </c>
      <c r="D24" s="10"/>
      <c r="E24" s="10"/>
      <c r="F24" s="10"/>
      <c r="G24" s="10"/>
      <c r="H24" s="10"/>
      <c r="I24" s="14"/>
      <c r="J24" s="10"/>
      <c r="K24" s="10"/>
      <c r="L24" s="10"/>
      <c r="M24" s="10"/>
      <c r="N24" s="10"/>
    </row>
    <row r="25" spans="1:14" x14ac:dyDescent="0.35">
      <c r="A25" s="10"/>
      <c r="B25" s="10"/>
      <c r="C25" s="43" t="str">
        <f>IF(B25="","",IFERROR(INDEX(Assessment!$E$5:$E$2000,MATCH(B25,Assessment!$A$5:$A$2000,0)),"Not found"))</f>
        <v/>
      </c>
      <c r="D25" s="10"/>
      <c r="E25" s="10"/>
      <c r="F25" s="10"/>
      <c r="G25" s="10"/>
      <c r="H25" s="10"/>
      <c r="I25" s="14"/>
      <c r="J25" s="10"/>
      <c r="K25" s="10"/>
      <c r="L25" s="10"/>
      <c r="M25" s="10"/>
      <c r="N25" s="10"/>
    </row>
    <row r="26" spans="1:14" x14ac:dyDescent="0.35">
      <c r="A26" s="10"/>
      <c r="B26" s="10"/>
      <c r="C26" s="43" t="str">
        <f>IF(B26="","",IFERROR(INDEX(Assessment!$E$5:$E$2000,MATCH(B26,Assessment!$A$5:$A$2000,0)),"Not found"))</f>
        <v/>
      </c>
      <c r="D26" s="10"/>
      <c r="E26" s="10"/>
      <c r="F26" s="10"/>
      <c r="G26" s="10"/>
      <c r="H26" s="10"/>
      <c r="I26" s="14"/>
      <c r="J26" s="10"/>
      <c r="K26" s="10"/>
      <c r="L26" s="10"/>
      <c r="M26" s="10"/>
      <c r="N26" s="10"/>
    </row>
    <row r="27" spans="1:14" x14ac:dyDescent="0.35">
      <c r="A27" s="10"/>
      <c r="B27" s="10"/>
      <c r="C27" s="43" t="str">
        <f>IF(B27="","",IFERROR(INDEX(Assessment!$E$5:$E$2000,MATCH(B27,Assessment!$A$5:$A$2000,0)),"Not found"))</f>
        <v/>
      </c>
      <c r="D27" s="10"/>
      <c r="E27" s="10"/>
      <c r="F27" s="10"/>
      <c r="G27" s="10"/>
      <c r="H27" s="10"/>
      <c r="I27" s="14"/>
      <c r="J27" s="10"/>
      <c r="K27" s="10"/>
      <c r="L27" s="10"/>
      <c r="M27" s="10"/>
      <c r="N27" s="10"/>
    </row>
    <row r="28" spans="1:14" x14ac:dyDescent="0.35">
      <c r="A28" s="10"/>
      <c r="B28" s="10"/>
      <c r="C28" s="43" t="str">
        <f>IF(B28="","",IFERROR(INDEX(Assessment!$E$5:$E$2000,MATCH(B28,Assessment!$A$5:$A$2000,0)),"Not found"))</f>
        <v/>
      </c>
      <c r="D28" s="10"/>
      <c r="E28" s="10"/>
      <c r="F28" s="10"/>
      <c r="G28" s="10"/>
      <c r="H28" s="10"/>
      <c r="I28" s="14"/>
      <c r="J28" s="10"/>
      <c r="K28" s="10"/>
      <c r="L28" s="10"/>
      <c r="M28" s="10"/>
      <c r="N28" s="10"/>
    </row>
    <row r="29" spans="1:14" x14ac:dyDescent="0.35">
      <c r="A29" s="10"/>
      <c r="B29" s="10"/>
      <c r="C29" s="43" t="str">
        <f>IF(B29="","",IFERROR(INDEX(Assessment!$E$5:$E$2000,MATCH(B29,Assessment!$A$5:$A$2000,0)),"Not found"))</f>
        <v/>
      </c>
      <c r="D29" s="10"/>
      <c r="E29" s="10"/>
      <c r="F29" s="10"/>
      <c r="G29" s="10"/>
      <c r="H29" s="10"/>
      <c r="I29" s="14"/>
      <c r="J29" s="10"/>
      <c r="K29" s="10"/>
      <c r="L29" s="10"/>
      <c r="M29" s="10"/>
      <c r="N29" s="10"/>
    </row>
    <row r="30" spans="1:14" x14ac:dyDescent="0.35">
      <c r="A30" s="10"/>
      <c r="B30" s="10"/>
      <c r="C30" s="43" t="str">
        <f>IF(B30="","",IFERROR(INDEX(Assessment!$E$5:$E$2000,MATCH(B30,Assessment!$A$5:$A$2000,0)),"Not found"))</f>
        <v/>
      </c>
      <c r="D30" s="10"/>
      <c r="E30" s="10"/>
      <c r="F30" s="10"/>
      <c r="G30" s="10"/>
      <c r="H30" s="10"/>
      <c r="I30" s="14"/>
      <c r="J30" s="10"/>
      <c r="K30" s="10"/>
      <c r="L30" s="10"/>
      <c r="M30" s="10"/>
      <c r="N30" s="10"/>
    </row>
    <row r="31" spans="1:14" x14ac:dyDescent="0.35">
      <c r="A31" s="10"/>
      <c r="B31" s="10"/>
      <c r="C31" s="43" t="str">
        <f>IF(B31="","",IFERROR(INDEX(Assessment!$E$5:$E$2000,MATCH(B31,Assessment!$A$5:$A$2000,0)),"Not found"))</f>
        <v/>
      </c>
      <c r="D31" s="10"/>
      <c r="E31" s="10"/>
      <c r="F31" s="10"/>
      <c r="G31" s="10"/>
      <c r="H31" s="10"/>
      <c r="I31" s="14"/>
      <c r="J31" s="10"/>
      <c r="K31" s="10"/>
      <c r="L31" s="10"/>
      <c r="M31" s="10"/>
      <c r="N31" s="10"/>
    </row>
    <row r="32" spans="1:14" x14ac:dyDescent="0.35">
      <c r="A32" s="10"/>
      <c r="B32" s="10"/>
      <c r="C32" s="43" t="str">
        <f>IF(B32="","",IFERROR(INDEX(Assessment!$E$5:$E$2000,MATCH(B32,Assessment!$A$5:$A$2000,0)),"Not found"))</f>
        <v/>
      </c>
      <c r="D32" s="10"/>
      <c r="E32" s="10"/>
      <c r="F32" s="10"/>
      <c r="G32" s="10"/>
      <c r="H32" s="10"/>
      <c r="I32" s="14"/>
      <c r="J32" s="10"/>
      <c r="K32" s="10"/>
      <c r="L32" s="10"/>
      <c r="M32" s="10"/>
      <c r="N32" s="10"/>
    </row>
    <row r="33" spans="1:14" x14ac:dyDescent="0.35">
      <c r="A33" s="10"/>
      <c r="B33" s="10"/>
      <c r="C33" s="43" t="str">
        <f>IF(B33="","",IFERROR(INDEX(Assessment!$E$5:$E$2000,MATCH(B33,Assessment!$A$5:$A$2000,0)),"Not found"))</f>
        <v/>
      </c>
      <c r="D33" s="10"/>
      <c r="E33" s="10"/>
      <c r="F33" s="10"/>
      <c r="G33" s="10"/>
      <c r="H33" s="10"/>
      <c r="I33" s="14"/>
      <c r="J33" s="10"/>
      <c r="K33" s="10"/>
      <c r="L33" s="10"/>
      <c r="M33" s="10"/>
      <c r="N33" s="10"/>
    </row>
    <row r="34" spans="1:14" x14ac:dyDescent="0.35">
      <c r="A34" s="10"/>
      <c r="B34" s="10"/>
      <c r="C34" s="43" t="str">
        <f>IF(B34="","",IFERROR(INDEX(Assessment!$E$5:$E$2000,MATCH(B34,Assessment!$A$5:$A$2000,0)),"Not found"))</f>
        <v/>
      </c>
      <c r="D34" s="10"/>
      <c r="E34" s="10"/>
      <c r="F34" s="10"/>
      <c r="G34" s="10"/>
      <c r="H34" s="10"/>
      <c r="I34" s="14"/>
      <c r="J34" s="10"/>
      <c r="K34" s="10"/>
      <c r="L34" s="10"/>
      <c r="M34" s="10"/>
      <c r="N34" s="10"/>
    </row>
    <row r="35" spans="1:14" x14ac:dyDescent="0.35">
      <c r="A35" s="10"/>
      <c r="B35" s="10"/>
      <c r="C35" s="43" t="str">
        <f>IF(B35="","",IFERROR(INDEX(Assessment!$E$5:$E$2000,MATCH(B35,Assessment!$A$5:$A$2000,0)),"Not found"))</f>
        <v/>
      </c>
      <c r="D35" s="10"/>
      <c r="E35" s="10"/>
      <c r="F35" s="10"/>
      <c r="G35" s="10"/>
      <c r="H35" s="10"/>
      <c r="I35" s="14"/>
      <c r="J35" s="10"/>
      <c r="K35" s="10"/>
      <c r="L35" s="10"/>
      <c r="M35" s="10"/>
      <c r="N35" s="10"/>
    </row>
    <row r="36" spans="1:14" x14ac:dyDescent="0.35">
      <c r="A36" s="10"/>
      <c r="B36" s="10"/>
      <c r="C36" s="43" t="str">
        <f>IF(B36="","",IFERROR(INDEX(Assessment!$E$5:$E$2000,MATCH(B36,Assessment!$A$5:$A$2000,0)),"Not found"))</f>
        <v/>
      </c>
      <c r="D36" s="10"/>
      <c r="E36" s="10"/>
      <c r="F36" s="10"/>
      <c r="G36" s="10"/>
      <c r="H36" s="10"/>
      <c r="I36" s="14"/>
      <c r="J36" s="10"/>
      <c r="K36" s="10"/>
      <c r="L36" s="10"/>
      <c r="M36" s="10"/>
      <c r="N36" s="10"/>
    </row>
    <row r="37" spans="1:14" x14ac:dyDescent="0.35">
      <c r="A37" s="10"/>
      <c r="B37" s="10"/>
      <c r="C37" s="43" t="str">
        <f>IF(B37="","",IFERROR(INDEX(Assessment!$E$5:$E$2000,MATCH(B37,Assessment!$A$5:$A$2000,0)),"Not found"))</f>
        <v/>
      </c>
      <c r="D37" s="10"/>
      <c r="E37" s="10"/>
      <c r="F37" s="10"/>
      <c r="G37" s="10"/>
      <c r="H37" s="10"/>
      <c r="I37" s="14"/>
      <c r="J37" s="10"/>
      <c r="K37" s="10"/>
      <c r="L37" s="10"/>
      <c r="M37" s="10"/>
      <c r="N37" s="10"/>
    </row>
    <row r="38" spans="1:14" x14ac:dyDescent="0.35">
      <c r="A38" s="10"/>
      <c r="B38" s="10"/>
      <c r="C38" s="43" t="str">
        <f>IF(B38="","",IFERROR(INDEX(Assessment!$E$5:$E$2000,MATCH(B38,Assessment!$A$5:$A$2000,0)),"Not found"))</f>
        <v/>
      </c>
      <c r="D38" s="10"/>
      <c r="E38" s="10"/>
      <c r="F38" s="10"/>
      <c r="G38" s="10"/>
      <c r="H38" s="10"/>
      <c r="I38" s="14"/>
      <c r="J38" s="10"/>
      <c r="K38" s="10"/>
      <c r="L38" s="10"/>
      <c r="M38" s="10"/>
      <c r="N38" s="10"/>
    </row>
    <row r="39" spans="1:14" x14ac:dyDescent="0.35">
      <c r="A39" s="10"/>
      <c r="B39" s="10"/>
      <c r="C39" s="43" t="str">
        <f>IF(B39="","",IFERROR(INDEX(Assessment!$E$5:$E$2000,MATCH(B39,Assessment!$A$5:$A$2000,0)),"Not found"))</f>
        <v/>
      </c>
      <c r="D39" s="10"/>
      <c r="E39" s="10"/>
      <c r="F39" s="10"/>
      <c r="G39" s="10"/>
      <c r="H39" s="10"/>
      <c r="I39" s="14"/>
      <c r="J39" s="10"/>
      <c r="K39" s="10"/>
      <c r="L39" s="10"/>
      <c r="M39" s="10"/>
      <c r="N39" s="10"/>
    </row>
    <row r="40" spans="1:14" x14ac:dyDescent="0.35">
      <c r="A40" s="10"/>
      <c r="B40" s="10"/>
      <c r="C40" s="43" t="str">
        <f>IF(B40="","",IFERROR(INDEX(Assessment!$E$5:$E$2000,MATCH(B40,Assessment!$A$5:$A$2000,0)),"Not found"))</f>
        <v/>
      </c>
      <c r="D40" s="10"/>
      <c r="E40" s="10"/>
      <c r="F40" s="10"/>
      <c r="G40" s="10"/>
      <c r="H40" s="10"/>
      <c r="I40" s="14"/>
      <c r="J40" s="10"/>
      <c r="K40" s="10"/>
      <c r="L40" s="10"/>
      <c r="M40" s="10"/>
      <c r="N40" s="10"/>
    </row>
    <row r="41" spans="1:14" x14ac:dyDescent="0.35">
      <c r="A41" s="10"/>
      <c r="B41" s="10"/>
      <c r="C41" s="43" t="str">
        <f>IF(B41="","",IFERROR(INDEX(Assessment!$E$5:$E$2000,MATCH(B41,Assessment!$A$5:$A$2000,0)),"Not found"))</f>
        <v/>
      </c>
      <c r="D41" s="10"/>
      <c r="E41" s="10"/>
      <c r="F41" s="10"/>
      <c r="G41" s="10"/>
      <c r="H41" s="10"/>
      <c r="I41" s="14"/>
      <c r="J41" s="10"/>
      <c r="K41" s="10"/>
      <c r="L41" s="10"/>
      <c r="M41" s="10"/>
      <c r="N41" s="10"/>
    </row>
    <row r="42" spans="1:14" x14ac:dyDescent="0.35">
      <c r="A42" s="10"/>
      <c r="B42" s="10"/>
      <c r="C42" s="43" t="str">
        <f>IF(B42="","",IFERROR(INDEX(Assessment!$E$5:$E$2000,MATCH(B42,Assessment!$A$5:$A$2000,0)),"Not found"))</f>
        <v/>
      </c>
      <c r="D42" s="10"/>
      <c r="E42" s="10"/>
      <c r="F42" s="10"/>
      <c r="G42" s="10"/>
      <c r="H42" s="10"/>
      <c r="I42" s="14"/>
      <c r="J42" s="10"/>
      <c r="K42" s="10"/>
      <c r="L42" s="10"/>
      <c r="M42" s="10"/>
      <c r="N42" s="10"/>
    </row>
    <row r="43" spans="1:14" x14ac:dyDescent="0.35">
      <c r="A43" s="10"/>
      <c r="B43" s="10"/>
      <c r="C43" s="43" t="str">
        <f>IF(B43="","",IFERROR(INDEX(Assessment!$E$5:$E$2000,MATCH(B43,Assessment!$A$5:$A$2000,0)),"Not found"))</f>
        <v/>
      </c>
      <c r="D43" s="10"/>
      <c r="E43" s="10"/>
      <c r="F43" s="10"/>
      <c r="G43" s="10"/>
      <c r="H43" s="10"/>
      <c r="I43" s="14"/>
      <c r="J43" s="10"/>
      <c r="K43" s="10"/>
      <c r="L43" s="10"/>
      <c r="M43" s="10"/>
      <c r="N43" s="10"/>
    </row>
    <row r="44" spans="1:14" x14ac:dyDescent="0.35">
      <c r="A44" s="10"/>
      <c r="B44" s="10"/>
      <c r="C44" s="43" t="str">
        <f>IF(B44="","",IFERROR(INDEX(Assessment!$E$5:$E$2000,MATCH(B44,Assessment!$A$5:$A$2000,0)),"Not found"))</f>
        <v/>
      </c>
      <c r="D44" s="10"/>
      <c r="E44" s="10"/>
      <c r="F44" s="10"/>
      <c r="G44" s="10"/>
      <c r="H44" s="10"/>
      <c r="I44" s="14"/>
      <c r="J44" s="10"/>
      <c r="K44" s="10"/>
      <c r="L44" s="10"/>
      <c r="M44" s="10"/>
      <c r="N44" s="10"/>
    </row>
    <row r="45" spans="1:14" x14ac:dyDescent="0.35">
      <c r="A45" s="10"/>
      <c r="B45" s="10"/>
      <c r="C45" s="43" t="str">
        <f>IF(B45="","",IFERROR(INDEX(Assessment!$E$5:$E$2000,MATCH(B45,Assessment!$A$5:$A$2000,0)),"Not found"))</f>
        <v/>
      </c>
      <c r="D45" s="10"/>
      <c r="E45" s="10"/>
      <c r="F45" s="10"/>
      <c r="G45" s="10"/>
      <c r="H45" s="10"/>
      <c r="I45" s="14"/>
      <c r="J45" s="10"/>
      <c r="K45" s="10"/>
      <c r="L45" s="10"/>
      <c r="M45" s="10"/>
      <c r="N45" s="10"/>
    </row>
    <row r="46" spans="1:14" x14ac:dyDescent="0.35">
      <c r="A46" s="10"/>
      <c r="B46" s="10"/>
      <c r="C46" s="43" t="str">
        <f>IF(B46="","",IFERROR(INDEX(Assessment!$E$5:$E$2000,MATCH(B46,Assessment!$A$5:$A$2000,0)),"Not found"))</f>
        <v/>
      </c>
      <c r="D46" s="10"/>
      <c r="E46" s="10"/>
      <c r="F46" s="10"/>
      <c r="G46" s="10"/>
      <c r="H46" s="10"/>
      <c r="I46" s="14"/>
      <c r="J46" s="10"/>
      <c r="K46" s="10"/>
      <c r="L46" s="10"/>
      <c r="M46" s="10"/>
      <c r="N46" s="10"/>
    </row>
    <row r="47" spans="1:14" x14ac:dyDescent="0.35">
      <c r="A47" s="10"/>
      <c r="B47" s="10"/>
      <c r="C47" s="43" t="str">
        <f>IF(B47="","",IFERROR(INDEX(Assessment!$E$5:$E$2000,MATCH(B47,Assessment!$A$5:$A$2000,0)),"Not found"))</f>
        <v/>
      </c>
      <c r="D47" s="10"/>
      <c r="E47" s="10"/>
      <c r="F47" s="10"/>
      <c r="G47" s="10"/>
      <c r="H47" s="10"/>
      <c r="I47" s="14"/>
      <c r="J47" s="10"/>
      <c r="K47" s="10"/>
      <c r="L47" s="10"/>
      <c r="M47" s="10"/>
      <c r="N47" s="10"/>
    </row>
    <row r="48" spans="1:14" x14ac:dyDescent="0.35">
      <c r="A48" s="10"/>
      <c r="B48" s="10"/>
      <c r="C48" s="43" t="str">
        <f>IF(B48="","",IFERROR(INDEX(Assessment!$E$5:$E$2000,MATCH(B48,Assessment!$A$5:$A$2000,0)),"Not found"))</f>
        <v/>
      </c>
      <c r="D48" s="10"/>
      <c r="E48" s="10"/>
      <c r="F48" s="10"/>
      <c r="G48" s="10"/>
      <c r="H48" s="10"/>
      <c r="I48" s="14"/>
      <c r="J48" s="10"/>
      <c r="K48" s="10"/>
      <c r="L48" s="10"/>
      <c r="M48" s="10"/>
      <c r="N48" s="10"/>
    </row>
    <row r="49" spans="1:14" x14ac:dyDescent="0.35">
      <c r="A49" s="10"/>
      <c r="B49" s="10"/>
      <c r="C49" s="43" t="str">
        <f>IF(B49="","",IFERROR(INDEX(Assessment!$E$5:$E$2000,MATCH(B49,Assessment!$A$5:$A$2000,0)),"Not found"))</f>
        <v/>
      </c>
      <c r="D49" s="10"/>
      <c r="E49" s="10"/>
      <c r="F49" s="10"/>
      <c r="G49" s="10"/>
      <c r="H49" s="10"/>
      <c r="I49" s="14"/>
      <c r="J49" s="10"/>
      <c r="K49" s="10"/>
      <c r="L49" s="10"/>
      <c r="M49" s="10"/>
      <c r="N49" s="10"/>
    </row>
    <row r="50" spans="1:14" x14ac:dyDescent="0.35">
      <c r="A50" s="10"/>
      <c r="B50" s="10"/>
      <c r="C50" s="43" t="str">
        <f>IF(B50="","",IFERROR(INDEX(Assessment!$E$5:$E$2000,MATCH(B50,Assessment!$A$5:$A$2000,0)),"Not found"))</f>
        <v/>
      </c>
      <c r="D50" s="10"/>
      <c r="E50" s="10"/>
      <c r="F50" s="10"/>
      <c r="G50" s="10"/>
      <c r="H50" s="10"/>
      <c r="I50" s="14"/>
      <c r="J50" s="10"/>
      <c r="K50" s="10"/>
      <c r="L50" s="10"/>
      <c r="M50" s="10"/>
      <c r="N50" s="10"/>
    </row>
    <row r="51" spans="1:14" x14ac:dyDescent="0.35">
      <c r="A51" s="10"/>
      <c r="B51" s="10"/>
      <c r="C51" s="43" t="str">
        <f>IF(B51="","",IFERROR(INDEX(Assessment!$E$5:$E$2000,MATCH(B51,Assessment!$A$5:$A$2000,0)),"Not found"))</f>
        <v/>
      </c>
      <c r="D51" s="10"/>
      <c r="E51" s="10"/>
      <c r="F51" s="10"/>
      <c r="G51" s="10"/>
      <c r="H51" s="10"/>
      <c r="I51" s="14"/>
      <c r="J51" s="10"/>
      <c r="K51" s="10"/>
      <c r="L51" s="10"/>
      <c r="M51" s="10"/>
      <c r="N51" s="10"/>
    </row>
    <row r="52" spans="1:14" x14ac:dyDescent="0.35">
      <c r="A52" s="10"/>
      <c r="B52" s="10"/>
      <c r="C52" s="43" t="str">
        <f>IF(B52="","",IFERROR(INDEX(Assessment!$E$5:$E$2000,MATCH(B52,Assessment!$A$5:$A$2000,0)),"Not found"))</f>
        <v/>
      </c>
      <c r="D52" s="10"/>
      <c r="E52" s="10"/>
      <c r="F52" s="10"/>
      <c r="G52" s="10"/>
      <c r="H52" s="10"/>
      <c r="I52" s="14"/>
      <c r="J52" s="10"/>
      <c r="K52" s="10"/>
      <c r="L52" s="10"/>
      <c r="M52" s="10"/>
      <c r="N52" s="10"/>
    </row>
    <row r="53" spans="1:14" x14ac:dyDescent="0.35">
      <c r="A53" s="10"/>
      <c r="B53" s="10"/>
      <c r="C53" s="43" t="str">
        <f>IF(B53="","",IFERROR(INDEX(Assessment!$E$5:$E$2000,MATCH(B53,Assessment!$A$5:$A$2000,0)),"Not found"))</f>
        <v/>
      </c>
      <c r="D53" s="10"/>
      <c r="E53" s="10"/>
      <c r="F53" s="10"/>
      <c r="G53" s="10"/>
      <c r="H53" s="10"/>
      <c r="I53" s="14"/>
      <c r="J53" s="10"/>
      <c r="K53" s="10"/>
      <c r="L53" s="10"/>
      <c r="M53" s="10"/>
      <c r="N53" s="10"/>
    </row>
    <row r="54" spans="1:14" x14ac:dyDescent="0.35">
      <c r="A54" s="10"/>
      <c r="B54" s="10"/>
      <c r="C54" s="43" t="str">
        <f>IF(B54="","",IFERROR(INDEX(Assessment!$E$5:$E$2000,MATCH(B54,Assessment!$A$5:$A$2000,0)),"Not found"))</f>
        <v/>
      </c>
      <c r="D54" s="10"/>
      <c r="E54" s="10"/>
      <c r="F54" s="10"/>
      <c r="G54" s="10"/>
      <c r="H54" s="10"/>
      <c r="I54" s="14"/>
      <c r="J54" s="10"/>
      <c r="K54" s="10"/>
      <c r="L54" s="10"/>
      <c r="M54" s="10"/>
      <c r="N54" s="10"/>
    </row>
    <row r="55" spans="1:14" x14ac:dyDescent="0.35">
      <c r="A55" s="10"/>
      <c r="B55" s="10"/>
      <c r="C55" s="43" t="str">
        <f>IF(B55="","",IFERROR(INDEX(Assessment!$E$5:$E$2000,MATCH(B55,Assessment!$A$5:$A$2000,0)),"Not found"))</f>
        <v/>
      </c>
      <c r="D55" s="10"/>
      <c r="E55" s="10"/>
      <c r="F55" s="10"/>
      <c r="G55" s="10"/>
      <c r="H55" s="10"/>
      <c r="I55" s="14"/>
      <c r="J55" s="10"/>
      <c r="K55" s="10"/>
      <c r="L55" s="10"/>
      <c r="M55" s="10"/>
      <c r="N55" s="10"/>
    </row>
    <row r="56" spans="1:14" x14ac:dyDescent="0.35">
      <c r="A56" s="10"/>
      <c r="B56" s="10"/>
      <c r="C56" s="43" t="str">
        <f>IF(B56="","",IFERROR(INDEX(Assessment!$E$5:$E$2000,MATCH(B56,Assessment!$A$5:$A$2000,0)),"Not found"))</f>
        <v/>
      </c>
      <c r="D56" s="10"/>
      <c r="E56" s="10"/>
      <c r="F56" s="10"/>
      <c r="G56" s="10"/>
      <c r="H56" s="10"/>
      <c r="I56" s="14"/>
      <c r="J56" s="10"/>
      <c r="K56" s="10"/>
      <c r="L56" s="10"/>
      <c r="M56" s="10"/>
      <c r="N56" s="10"/>
    </row>
    <row r="57" spans="1:14" x14ac:dyDescent="0.35">
      <c r="A57" s="10"/>
      <c r="B57" s="10"/>
      <c r="C57" s="43" t="str">
        <f>IF(B57="","",IFERROR(INDEX(Assessment!$E$5:$E$2000,MATCH(B57,Assessment!$A$5:$A$2000,0)),"Not found"))</f>
        <v/>
      </c>
      <c r="D57" s="10"/>
      <c r="E57" s="10"/>
      <c r="F57" s="10"/>
      <c r="G57" s="10"/>
      <c r="H57" s="10"/>
      <c r="I57" s="14"/>
      <c r="J57" s="10"/>
      <c r="K57" s="10"/>
      <c r="L57" s="10"/>
      <c r="M57" s="10"/>
      <c r="N57" s="10"/>
    </row>
    <row r="58" spans="1:14" x14ac:dyDescent="0.35">
      <c r="A58" s="10"/>
      <c r="B58" s="10"/>
      <c r="C58" s="43" t="str">
        <f>IF(B58="","",IFERROR(INDEX(Assessment!$E$5:$E$2000,MATCH(B58,Assessment!$A$5:$A$2000,0)),"Not found"))</f>
        <v/>
      </c>
      <c r="D58" s="10"/>
      <c r="E58" s="10"/>
      <c r="F58" s="10"/>
      <c r="G58" s="10"/>
      <c r="H58" s="10"/>
      <c r="I58" s="14"/>
      <c r="J58" s="10"/>
      <c r="K58" s="10"/>
      <c r="L58" s="10"/>
      <c r="M58" s="10"/>
      <c r="N58" s="10"/>
    </row>
    <row r="59" spans="1:14" x14ac:dyDescent="0.35">
      <c r="A59" s="10"/>
      <c r="B59" s="10"/>
      <c r="C59" s="43" t="str">
        <f>IF(B59="","",IFERROR(INDEX(Assessment!$E$5:$E$2000,MATCH(B59,Assessment!$A$5:$A$2000,0)),"Not found"))</f>
        <v/>
      </c>
      <c r="D59" s="10"/>
      <c r="E59" s="10"/>
      <c r="F59" s="10"/>
      <c r="G59" s="10"/>
      <c r="H59" s="10"/>
      <c r="I59" s="14"/>
      <c r="J59" s="10"/>
      <c r="K59" s="10"/>
      <c r="L59" s="10"/>
      <c r="M59" s="10"/>
      <c r="N59" s="10"/>
    </row>
    <row r="60" spans="1:14" x14ac:dyDescent="0.35">
      <c r="A60" s="10"/>
      <c r="B60" s="10"/>
      <c r="C60" s="43" t="str">
        <f>IF(B60="","",IFERROR(INDEX(Assessment!$E$5:$E$2000,MATCH(B60,Assessment!$A$5:$A$2000,0)),"Not found"))</f>
        <v/>
      </c>
      <c r="D60" s="10"/>
      <c r="E60" s="10"/>
      <c r="F60" s="10"/>
      <c r="G60" s="10"/>
      <c r="H60" s="10"/>
      <c r="I60" s="14"/>
      <c r="J60" s="10"/>
      <c r="K60" s="10"/>
      <c r="L60" s="10"/>
      <c r="M60" s="10"/>
      <c r="N60" s="10"/>
    </row>
    <row r="61" spans="1:14" x14ac:dyDescent="0.35">
      <c r="A61" s="10"/>
      <c r="B61" s="10"/>
      <c r="C61" s="43" t="str">
        <f>IF(B61="","",IFERROR(INDEX(Assessment!$E$5:$E$2000,MATCH(B61,Assessment!$A$5:$A$2000,0)),"Not found"))</f>
        <v/>
      </c>
      <c r="D61" s="10"/>
      <c r="E61" s="10"/>
      <c r="F61" s="10"/>
      <c r="G61" s="10"/>
      <c r="H61" s="10"/>
      <c r="I61" s="14"/>
      <c r="J61" s="10"/>
      <c r="K61" s="10"/>
      <c r="L61" s="10"/>
      <c r="M61" s="10"/>
      <c r="N61" s="10"/>
    </row>
    <row r="62" spans="1:14" x14ac:dyDescent="0.35">
      <c r="A62" s="10"/>
      <c r="B62" s="10"/>
      <c r="C62" s="43" t="str">
        <f>IF(B62="","",IFERROR(INDEX(Assessment!$E$5:$E$2000,MATCH(B62,Assessment!$A$5:$A$2000,0)),"Not found"))</f>
        <v/>
      </c>
      <c r="D62" s="10"/>
      <c r="E62" s="10"/>
      <c r="F62" s="10"/>
      <c r="G62" s="10"/>
      <c r="H62" s="10"/>
      <c r="I62" s="14"/>
      <c r="J62" s="10"/>
      <c r="K62" s="10"/>
      <c r="L62" s="10"/>
      <c r="M62" s="10"/>
      <c r="N62" s="10"/>
    </row>
    <row r="63" spans="1:14" x14ac:dyDescent="0.35">
      <c r="A63" s="10"/>
      <c r="B63" s="10"/>
      <c r="C63" s="43" t="str">
        <f>IF(B63="","",IFERROR(INDEX(Assessment!$E$5:$E$2000,MATCH(B63,Assessment!$A$5:$A$2000,0)),"Not found"))</f>
        <v/>
      </c>
      <c r="D63" s="10"/>
      <c r="E63" s="10"/>
      <c r="F63" s="10"/>
      <c r="G63" s="10"/>
      <c r="H63" s="10"/>
      <c r="I63" s="14"/>
      <c r="J63" s="10"/>
      <c r="K63" s="10"/>
      <c r="L63" s="10"/>
      <c r="M63" s="10"/>
      <c r="N63" s="10"/>
    </row>
    <row r="64" spans="1:14" x14ac:dyDescent="0.35">
      <c r="A64" s="10"/>
      <c r="B64" s="10"/>
      <c r="C64" s="43" t="str">
        <f>IF(B64="","",IFERROR(INDEX(Assessment!$E$5:$E$2000,MATCH(B64,Assessment!$A$5:$A$2000,0)),"Not found"))</f>
        <v/>
      </c>
      <c r="D64" s="10"/>
      <c r="E64" s="10"/>
      <c r="F64" s="10"/>
      <c r="G64" s="10"/>
      <c r="H64" s="10"/>
      <c r="I64" s="14"/>
      <c r="J64" s="10"/>
      <c r="K64" s="10"/>
      <c r="L64" s="10"/>
      <c r="M64" s="10"/>
      <c r="N64" s="10"/>
    </row>
    <row r="65" spans="1:14" x14ac:dyDescent="0.35">
      <c r="A65" s="10"/>
      <c r="B65" s="10"/>
      <c r="C65" s="43" t="str">
        <f>IF(B65="","",IFERROR(INDEX(Assessment!$E$5:$E$2000,MATCH(B65,Assessment!$A$5:$A$2000,0)),"Not found"))</f>
        <v/>
      </c>
      <c r="D65" s="10"/>
      <c r="E65" s="10"/>
      <c r="F65" s="10"/>
      <c r="G65" s="10"/>
      <c r="H65" s="10"/>
      <c r="I65" s="14"/>
      <c r="J65" s="10"/>
      <c r="K65" s="10"/>
      <c r="L65" s="10"/>
      <c r="M65" s="10"/>
      <c r="N65" s="10"/>
    </row>
    <row r="66" spans="1:14" x14ac:dyDescent="0.35">
      <c r="A66" s="10"/>
      <c r="B66" s="10"/>
      <c r="C66" s="43" t="str">
        <f>IF(B66="","",IFERROR(INDEX(Assessment!$E$5:$E$2000,MATCH(B66,Assessment!$A$5:$A$2000,0)),"Not found"))</f>
        <v/>
      </c>
      <c r="D66" s="10"/>
      <c r="E66" s="10"/>
      <c r="F66" s="10"/>
      <c r="G66" s="10"/>
      <c r="H66" s="10"/>
      <c r="I66" s="14"/>
      <c r="J66" s="10"/>
      <c r="K66" s="10"/>
      <c r="L66" s="10"/>
      <c r="M66" s="10"/>
      <c r="N66" s="10"/>
    </row>
    <row r="67" spans="1:14" x14ac:dyDescent="0.35">
      <c r="A67" s="10"/>
      <c r="B67" s="10"/>
      <c r="C67" s="43" t="str">
        <f>IF(B67="","",IFERROR(INDEX(Assessment!$E$5:$E$2000,MATCH(B67,Assessment!$A$5:$A$2000,0)),"Not found"))</f>
        <v/>
      </c>
      <c r="D67" s="10"/>
      <c r="E67" s="10"/>
      <c r="F67" s="10"/>
      <c r="G67" s="10"/>
      <c r="H67" s="10"/>
      <c r="I67" s="14"/>
      <c r="J67" s="10"/>
      <c r="K67" s="10"/>
      <c r="L67" s="10"/>
      <c r="M67" s="10"/>
      <c r="N67" s="10"/>
    </row>
    <row r="68" spans="1:14" x14ac:dyDescent="0.35">
      <c r="A68" s="10"/>
      <c r="B68" s="10"/>
      <c r="C68" s="43" t="str">
        <f>IF(B68="","",IFERROR(INDEX(Assessment!$E$5:$E$2000,MATCH(B68,Assessment!$A$5:$A$2000,0)),"Not found"))</f>
        <v/>
      </c>
      <c r="D68" s="10"/>
      <c r="E68" s="10"/>
      <c r="F68" s="10"/>
      <c r="G68" s="10"/>
      <c r="H68" s="10"/>
      <c r="I68" s="14"/>
      <c r="J68" s="10"/>
      <c r="K68" s="10"/>
      <c r="L68" s="10"/>
      <c r="M68" s="10"/>
      <c r="N68" s="10"/>
    </row>
    <row r="69" spans="1:14" x14ac:dyDescent="0.35">
      <c r="A69" s="10"/>
      <c r="B69" s="10"/>
      <c r="C69" s="43" t="str">
        <f>IF(B69="","",IFERROR(INDEX(Assessment!$E$5:$E$2000,MATCH(B69,Assessment!$A$5:$A$2000,0)),"Not found"))</f>
        <v/>
      </c>
      <c r="D69" s="10"/>
      <c r="E69" s="10"/>
      <c r="F69" s="10"/>
      <c r="G69" s="10"/>
      <c r="H69" s="10"/>
      <c r="I69" s="14"/>
      <c r="J69" s="10"/>
      <c r="K69" s="10"/>
      <c r="L69" s="10"/>
      <c r="M69" s="10"/>
      <c r="N69" s="10"/>
    </row>
    <row r="70" spans="1:14" x14ac:dyDescent="0.35">
      <c r="A70" s="10"/>
      <c r="B70" s="10"/>
      <c r="C70" s="43" t="str">
        <f>IF(B70="","",IFERROR(INDEX(Assessment!$E$5:$E$2000,MATCH(B70,Assessment!$A$5:$A$2000,0)),"Not found"))</f>
        <v/>
      </c>
      <c r="D70" s="10"/>
      <c r="E70" s="10"/>
      <c r="F70" s="10"/>
      <c r="G70" s="10"/>
      <c r="H70" s="10"/>
      <c r="I70" s="14"/>
      <c r="J70" s="10"/>
      <c r="K70" s="10"/>
      <c r="L70" s="10"/>
      <c r="M70" s="10"/>
      <c r="N70" s="10"/>
    </row>
    <row r="71" spans="1:14" x14ac:dyDescent="0.35">
      <c r="A71" s="10"/>
      <c r="B71" s="10"/>
      <c r="C71" s="43" t="str">
        <f>IF(B71="","",IFERROR(INDEX(Assessment!$E$5:$E$2000,MATCH(B71,Assessment!$A$5:$A$2000,0)),"Not found"))</f>
        <v/>
      </c>
      <c r="D71" s="10"/>
      <c r="E71" s="10"/>
      <c r="F71" s="10"/>
      <c r="G71" s="10"/>
      <c r="H71" s="10"/>
      <c r="I71" s="14"/>
      <c r="J71" s="10"/>
      <c r="K71" s="10"/>
      <c r="L71" s="10"/>
      <c r="M71" s="10"/>
      <c r="N71" s="10"/>
    </row>
    <row r="72" spans="1:14" x14ac:dyDescent="0.35">
      <c r="A72" s="10"/>
      <c r="B72" s="10"/>
      <c r="C72" s="43" t="str">
        <f>IF(B72="","",IFERROR(INDEX(Assessment!$E$5:$E$2000,MATCH(B72,Assessment!$A$5:$A$2000,0)),"Not found"))</f>
        <v/>
      </c>
      <c r="D72" s="10"/>
      <c r="E72" s="10"/>
      <c r="F72" s="10"/>
      <c r="G72" s="10"/>
      <c r="H72" s="10"/>
      <c r="I72" s="14"/>
      <c r="J72" s="10"/>
      <c r="K72" s="10"/>
      <c r="L72" s="10"/>
      <c r="M72" s="10"/>
      <c r="N72" s="10"/>
    </row>
    <row r="73" spans="1:14" x14ac:dyDescent="0.35">
      <c r="A73" s="10"/>
      <c r="B73" s="10"/>
      <c r="C73" s="43" t="str">
        <f>IF(B73="","",IFERROR(INDEX(Assessment!$E$5:$E$2000,MATCH(B73,Assessment!$A$5:$A$2000,0)),"Not found"))</f>
        <v/>
      </c>
      <c r="D73" s="10"/>
      <c r="E73" s="10"/>
      <c r="F73" s="10"/>
      <c r="G73" s="10"/>
      <c r="H73" s="10"/>
      <c r="I73" s="14"/>
      <c r="J73" s="10"/>
      <c r="K73" s="10"/>
      <c r="L73" s="10"/>
      <c r="M73" s="10"/>
      <c r="N73" s="10"/>
    </row>
    <row r="74" spans="1:14" x14ac:dyDescent="0.35">
      <c r="A74" s="10"/>
      <c r="B74" s="10"/>
      <c r="C74" s="43" t="str">
        <f>IF(B74="","",IFERROR(INDEX(Assessment!$E$5:$E$2000,MATCH(B74,Assessment!$A$5:$A$2000,0)),"Not found"))</f>
        <v/>
      </c>
      <c r="D74" s="10"/>
      <c r="E74" s="10"/>
      <c r="F74" s="10"/>
      <c r="G74" s="10"/>
      <c r="H74" s="10"/>
      <c r="I74" s="14"/>
      <c r="J74" s="10"/>
      <c r="K74" s="10"/>
      <c r="L74" s="10"/>
      <c r="M74" s="10"/>
      <c r="N74" s="10"/>
    </row>
    <row r="75" spans="1:14" x14ac:dyDescent="0.35">
      <c r="A75" s="10"/>
      <c r="B75" s="10"/>
      <c r="C75" s="43" t="str">
        <f>IF(B75="","",IFERROR(INDEX(Assessment!$E$5:$E$2000,MATCH(B75,Assessment!$A$5:$A$2000,0)),"Not found"))</f>
        <v/>
      </c>
      <c r="D75" s="10"/>
      <c r="E75" s="10"/>
      <c r="F75" s="10"/>
      <c r="G75" s="10"/>
      <c r="H75" s="10"/>
      <c r="I75" s="14"/>
      <c r="J75" s="10"/>
      <c r="K75" s="10"/>
      <c r="L75" s="10"/>
      <c r="M75" s="10"/>
      <c r="N75" s="10"/>
    </row>
    <row r="76" spans="1:14" x14ac:dyDescent="0.35">
      <c r="A76" s="10"/>
      <c r="B76" s="10"/>
      <c r="C76" s="43" t="str">
        <f>IF(B76="","",IFERROR(INDEX(Assessment!$E$5:$E$2000,MATCH(B76,Assessment!$A$5:$A$2000,0)),"Not found"))</f>
        <v/>
      </c>
      <c r="D76" s="10"/>
      <c r="E76" s="10"/>
      <c r="F76" s="10"/>
      <c r="G76" s="10"/>
      <c r="H76" s="10"/>
      <c r="I76" s="14"/>
      <c r="J76" s="10"/>
      <c r="K76" s="10"/>
      <c r="L76" s="10"/>
      <c r="M76" s="10"/>
      <c r="N76" s="10"/>
    </row>
    <row r="77" spans="1:14" x14ac:dyDescent="0.35">
      <c r="A77" s="10"/>
      <c r="B77" s="10"/>
      <c r="C77" s="43" t="str">
        <f>IF(B77="","",IFERROR(INDEX(Assessment!$E$5:$E$2000,MATCH(B77,Assessment!$A$5:$A$2000,0)),"Not found"))</f>
        <v/>
      </c>
      <c r="D77" s="10"/>
      <c r="E77" s="10"/>
      <c r="F77" s="10"/>
      <c r="G77" s="10"/>
      <c r="H77" s="10"/>
      <c r="I77" s="14"/>
      <c r="J77" s="10"/>
      <c r="K77" s="10"/>
      <c r="L77" s="10"/>
      <c r="M77" s="10"/>
      <c r="N77" s="10"/>
    </row>
    <row r="78" spans="1:14" x14ac:dyDescent="0.35">
      <c r="A78" s="10"/>
      <c r="B78" s="10"/>
      <c r="C78" s="43" t="str">
        <f>IF(B78="","",IFERROR(INDEX(Assessment!$E$5:$E$2000,MATCH(B78,Assessment!$A$5:$A$2000,0)),"Not found"))</f>
        <v/>
      </c>
      <c r="D78" s="10"/>
      <c r="E78" s="10"/>
      <c r="F78" s="10"/>
      <c r="G78" s="10"/>
      <c r="H78" s="10"/>
      <c r="I78" s="14"/>
      <c r="J78" s="10"/>
      <c r="K78" s="10"/>
      <c r="L78" s="10"/>
      <c r="M78" s="10"/>
      <c r="N78" s="10"/>
    </row>
    <row r="79" spans="1:14" x14ac:dyDescent="0.35">
      <c r="A79" s="10"/>
      <c r="B79" s="10"/>
      <c r="C79" s="43" t="str">
        <f>IF(B79="","",IFERROR(INDEX(Assessment!$E$5:$E$2000,MATCH(B79,Assessment!$A$5:$A$2000,0)),"Not found"))</f>
        <v/>
      </c>
      <c r="D79" s="10"/>
      <c r="E79" s="10"/>
      <c r="F79" s="10"/>
      <c r="G79" s="10"/>
      <c r="H79" s="10"/>
      <c r="I79" s="14"/>
      <c r="J79" s="10"/>
      <c r="K79" s="10"/>
      <c r="L79" s="10"/>
      <c r="M79" s="10"/>
      <c r="N79" s="10"/>
    </row>
    <row r="80" spans="1:14" x14ac:dyDescent="0.35">
      <c r="A80" s="10"/>
      <c r="B80" s="10"/>
      <c r="C80" s="43" t="str">
        <f>IF(B80="","",IFERROR(INDEX(Assessment!$E$5:$E$2000,MATCH(B80,Assessment!$A$5:$A$2000,0)),"Not found"))</f>
        <v/>
      </c>
      <c r="D80" s="10"/>
      <c r="E80" s="10"/>
      <c r="F80" s="10"/>
      <c r="G80" s="10"/>
      <c r="H80" s="10"/>
      <c r="I80" s="14"/>
      <c r="J80" s="10"/>
      <c r="K80" s="10"/>
      <c r="L80" s="10"/>
      <c r="M80" s="10"/>
      <c r="N80" s="10"/>
    </row>
    <row r="81" spans="1:14" x14ac:dyDescent="0.35">
      <c r="A81" s="10"/>
      <c r="B81" s="10"/>
      <c r="C81" s="43" t="str">
        <f>IF(B81="","",IFERROR(INDEX(Assessment!$E$5:$E$2000,MATCH(B81,Assessment!$A$5:$A$2000,0)),"Not found"))</f>
        <v/>
      </c>
      <c r="D81" s="10"/>
      <c r="E81" s="10"/>
      <c r="F81" s="10"/>
      <c r="G81" s="10"/>
      <c r="H81" s="10"/>
      <c r="I81" s="14"/>
      <c r="J81" s="10"/>
      <c r="K81" s="10"/>
      <c r="L81" s="10"/>
      <c r="M81" s="10"/>
      <c r="N81" s="10"/>
    </row>
    <row r="82" spans="1:14" x14ac:dyDescent="0.35">
      <c r="A82" s="10"/>
      <c r="B82" s="10"/>
      <c r="C82" s="43" t="str">
        <f>IF(B82="","",IFERROR(INDEX(Assessment!$E$5:$E$2000,MATCH(B82,Assessment!$A$5:$A$2000,0)),"Not found"))</f>
        <v/>
      </c>
      <c r="D82" s="10"/>
      <c r="E82" s="10"/>
      <c r="F82" s="10"/>
      <c r="G82" s="10"/>
      <c r="H82" s="10"/>
      <c r="I82" s="14"/>
      <c r="J82" s="10"/>
      <c r="K82" s="10"/>
      <c r="L82" s="10"/>
      <c r="M82" s="10"/>
      <c r="N82" s="10"/>
    </row>
    <row r="83" spans="1:14" x14ac:dyDescent="0.35">
      <c r="A83" s="10"/>
      <c r="B83" s="10"/>
      <c r="C83" s="43" t="str">
        <f>IF(B83="","",IFERROR(INDEX(Assessment!$E$5:$E$2000,MATCH(B83,Assessment!$A$5:$A$2000,0)),"Not found"))</f>
        <v/>
      </c>
      <c r="D83" s="10"/>
      <c r="E83" s="10"/>
      <c r="F83" s="10"/>
      <c r="G83" s="10"/>
      <c r="H83" s="10"/>
      <c r="I83" s="14"/>
      <c r="J83" s="10"/>
      <c r="K83" s="10"/>
      <c r="L83" s="10"/>
      <c r="M83" s="10"/>
      <c r="N83" s="10"/>
    </row>
    <row r="84" spans="1:14" x14ac:dyDescent="0.35">
      <c r="A84" s="10"/>
      <c r="B84" s="10"/>
      <c r="C84" s="43" t="str">
        <f>IF(B84="","",IFERROR(INDEX(Assessment!$E$5:$E$2000,MATCH(B84,Assessment!$A$5:$A$2000,0)),"Not found"))</f>
        <v/>
      </c>
      <c r="D84" s="10"/>
      <c r="E84" s="10"/>
      <c r="F84" s="10"/>
      <c r="G84" s="10"/>
      <c r="H84" s="10"/>
      <c r="I84" s="14"/>
      <c r="J84" s="10"/>
      <c r="K84" s="10"/>
      <c r="L84" s="10"/>
      <c r="M84" s="10"/>
      <c r="N84" s="10"/>
    </row>
    <row r="85" spans="1:14" x14ac:dyDescent="0.35">
      <c r="A85" s="10"/>
      <c r="B85" s="10"/>
      <c r="C85" s="43" t="str">
        <f>IF(B85="","",IFERROR(INDEX(Assessment!$E$5:$E$2000,MATCH(B85,Assessment!$A$5:$A$2000,0)),"Not found"))</f>
        <v/>
      </c>
      <c r="D85" s="10"/>
      <c r="E85" s="10"/>
      <c r="F85" s="10"/>
      <c r="G85" s="10"/>
      <c r="H85" s="10"/>
      <c r="I85" s="14"/>
      <c r="J85" s="10"/>
      <c r="K85" s="10"/>
      <c r="L85" s="10"/>
      <c r="M85" s="10"/>
      <c r="N85" s="10"/>
    </row>
    <row r="86" spans="1:14" x14ac:dyDescent="0.35">
      <c r="A86" s="10"/>
      <c r="B86" s="10"/>
      <c r="C86" s="43" t="str">
        <f>IF(B86="","",IFERROR(INDEX(Assessment!$E$5:$E$2000,MATCH(B86,Assessment!$A$5:$A$2000,0)),"Not found"))</f>
        <v/>
      </c>
      <c r="D86" s="10"/>
      <c r="E86" s="10"/>
      <c r="F86" s="10"/>
      <c r="G86" s="10"/>
      <c r="H86" s="10"/>
      <c r="I86" s="14"/>
      <c r="J86" s="10"/>
      <c r="K86" s="10"/>
      <c r="L86" s="10"/>
      <c r="M86" s="10"/>
      <c r="N86" s="10"/>
    </row>
    <row r="87" spans="1:14" x14ac:dyDescent="0.35">
      <c r="A87" s="10"/>
      <c r="B87" s="10"/>
      <c r="C87" s="43" t="str">
        <f>IF(B87="","",IFERROR(INDEX(Assessment!$E$5:$E$2000,MATCH(B87,Assessment!$A$5:$A$2000,0)),"Not found"))</f>
        <v/>
      </c>
      <c r="D87" s="10"/>
      <c r="E87" s="10"/>
      <c r="F87" s="10"/>
      <c r="G87" s="10"/>
      <c r="H87" s="10"/>
      <c r="I87" s="14"/>
      <c r="J87" s="10"/>
      <c r="K87" s="10"/>
      <c r="L87" s="10"/>
      <c r="M87" s="10"/>
      <c r="N87" s="10"/>
    </row>
    <row r="88" spans="1:14" x14ac:dyDescent="0.35">
      <c r="A88" s="10"/>
      <c r="B88" s="10"/>
      <c r="C88" s="43" t="str">
        <f>IF(B88="","",IFERROR(INDEX(Assessment!$E$5:$E$2000,MATCH(B88,Assessment!$A$5:$A$2000,0)),"Not found"))</f>
        <v/>
      </c>
      <c r="D88" s="10"/>
      <c r="E88" s="10"/>
      <c r="F88" s="10"/>
      <c r="G88" s="10"/>
      <c r="H88" s="10"/>
      <c r="I88" s="14"/>
      <c r="J88" s="10"/>
      <c r="K88" s="10"/>
      <c r="L88" s="10"/>
      <c r="M88" s="10"/>
      <c r="N88" s="10"/>
    </row>
    <row r="89" spans="1:14" x14ac:dyDescent="0.35">
      <c r="A89" s="10"/>
      <c r="B89" s="10"/>
      <c r="C89" s="43" t="str">
        <f>IF(B89="","",IFERROR(INDEX(Assessment!$E$5:$E$2000,MATCH(B89,Assessment!$A$5:$A$2000,0)),"Not found"))</f>
        <v/>
      </c>
      <c r="D89" s="10"/>
      <c r="E89" s="10"/>
      <c r="F89" s="10"/>
      <c r="G89" s="10"/>
      <c r="H89" s="10"/>
      <c r="I89" s="14"/>
      <c r="J89" s="10"/>
      <c r="K89" s="10"/>
      <c r="L89" s="10"/>
      <c r="M89" s="10"/>
      <c r="N89" s="10"/>
    </row>
    <row r="90" spans="1:14" x14ac:dyDescent="0.35">
      <c r="A90" s="10"/>
      <c r="B90" s="10"/>
      <c r="C90" s="43" t="str">
        <f>IF(B90="","",IFERROR(INDEX(Assessment!$E$5:$E$2000,MATCH(B90,Assessment!$A$5:$A$2000,0)),"Not found"))</f>
        <v/>
      </c>
      <c r="D90" s="10"/>
      <c r="E90" s="10"/>
      <c r="F90" s="10"/>
      <c r="G90" s="10"/>
      <c r="H90" s="10"/>
      <c r="I90" s="14"/>
      <c r="J90" s="10"/>
      <c r="K90" s="10"/>
      <c r="L90" s="10"/>
      <c r="M90" s="10"/>
      <c r="N90" s="10"/>
    </row>
    <row r="91" spans="1:14" x14ac:dyDescent="0.35">
      <c r="A91" s="10"/>
      <c r="B91" s="10"/>
      <c r="C91" s="43" t="str">
        <f>IF(B91="","",IFERROR(INDEX(Assessment!$E$5:$E$2000,MATCH(B91,Assessment!$A$5:$A$2000,0)),"Not found"))</f>
        <v/>
      </c>
      <c r="D91" s="10"/>
      <c r="E91" s="10"/>
      <c r="F91" s="10"/>
      <c r="G91" s="10"/>
      <c r="H91" s="10"/>
      <c r="I91" s="14"/>
      <c r="J91" s="10"/>
      <c r="K91" s="10"/>
      <c r="L91" s="10"/>
      <c r="M91" s="10"/>
      <c r="N91" s="10"/>
    </row>
    <row r="92" spans="1:14" x14ac:dyDescent="0.35">
      <c r="A92" s="10"/>
      <c r="B92" s="10"/>
      <c r="C92" s="43" t="str">
        <f>IF(B92="","",IFERROR(INDEX(Assessment!$E$5:$E$2000,MATCH(B92,Assessment!$A$5:$A$2000,0)),"Not found"))</f>
        <v/>
      </c>
      <c r="D92" s="10"/>
      <c r="E92" s="10"/>
      <c r="F92" s="10"/>
      <c r="G92" s="10"/>
      <c r="H92" s="10"/>
      <c r="I92" s="14"/>
      <c r="J92" s="10"/>
      <c r="K92" s="10"/>
      <c r="L92" s="10"/>
      <c r="M92" s="10"/>
      <c r="N92" s="10"/>
    </row>
    <row r="93" spans="1:14" x14ac:dyDescent="0.35">
      <c r="A93" s="10"/>
      <c r="B93" s="10"/>
      <c r="C93" s="43" t="str">
        <f>IF(B93="","",IFERROR(INDEX(Assessment!$E$5:$E$2000,MATCH(B93,Assessment!$A$5:$A$2000,0)),"Not found"))</f>
        <v/>
      </c>
      <c r="D93" s="10"/>
      <c r="E93" s="10"/>
      <c r="F93" s="10"/>
      <c r="G93" s="10"/>
      <c r="H93" s="10"/>
      <c r="I93" s="14"/>
      <c r="J93" s="10"/>
      <c r="K93" s="10"/>
      <c r="L93" s="10"/>
      <c r="M93" s="10"/>
      <c r="N93" s="10"/>
    </row>
    <row r="94" spans="1:14" x14ac:dyDescent="0.35">
      <c r="A94" s="10"/>
      <c r="B94" s="10"/>
      <c r="C94" s="43" t="str">
        <f>IF(B94="","",IFERROR(INDEX(Assessment!$E$5:$E$2000,MATCH(B94,Assessment!$A$5:$A$2000,0)),"Not found"))</f>
        <v/>
      </c>
      <c r="D94" s="10"/>
      <c r="E94" s="10"/>
      <c r="F94" s="10"/>
      <c r="G94" s="10"/>
      <c r="H94" s="10"/>
      <c r="I94" s="14"/>
      <c r="J94" s="10"/>
      <c r="K94" s="10"/>
      <c r="L94" s="10"/>
      <c r="M94" s="10"/>
      <c r="N94" s="10"/>
    </row>
    <row r="95" spans="1:14" x14ac:dyDescent="0.35">
      <c r="A95" s="10"/>
      <c r="B95" s="10"/>
      <c r="C95" s="43" t="str">
        <f>IF(B95="","",IFERROR(INDEX(Assessment!$E$5:$E$2000,MATCH(B95,Assessment!$A$5:$A$2000,0)),"Not found"))</f>
        <v/>
      </c>
      <c r="D95" s="10"/>
      <c r="E95" s="10"/>
      <c r="F95" s="10"/>
      <c r="G95" s="10"/>
      <c r="H95" s="10"/>
      <c r="I95" s="14"/>
      <c r="J95" s="10"/>
      <c r="K95" s="10"/>
      <c r="L95" s="10"/>
      <c r="M95" s="10"/>
      <c r="N95" s="10"/>
    </row>
    <row r="96" spans="1:14" x14ac:dyDescent="0.35">
      <c r="A96" s="10"/>
      <c r="B96" s="10"/>
      <c r="C96" s="43" t="str">
        <f>IF(B96="","",IFERROR(INDEX(Assessment!$E$5:$E$2000,MATCH(B96,Assessment!$A$5:$A$2000,0)),"Not found"))</f>
        <v/>
      </c>
      <c r="D96" s="10"/>
      <c r="E96" s="10"/>
      <c r="F96" s="10"/>
      <c r="G96" s="10"/>
      <c r="H96" s="10"/>
      <c r="I96" s="14"/>
      <c r="J96" s="10"/>
      <c r="K96" s="10"/>
      <c r="L96" s="10"/>
      <c r="M96" s="10"/>
      <c r="N96" s="10"/>
    </row>
    <row r="97" spans="1:14" x14ac:dyDescent="0.35">
      <c r="A97" s="10"/>
      <c r="B97" s="10"/>
      <c r="C97" s="43" t="str">
        <f>IF(B97="","",IFERROR(INDEX(Assessment!$E$5:$E$2000,MATCH(B97,Assessment!$A$5:$A$2000,0)),"Not found"))</f>
        <v/>
      </c>
      <c r="D97" s="10"/>
      <c r="E97" s="10"/>
      <c r="F97" s="10"/>
      <c r="G97" s="10"/>
      <c r="H97" s="10"/>
      <c r="I97" s="14"/>
      <c r="J97" s="10"/>
      <c r="K97" s="10"/>
      <c r="L97" s="10"/>
      <c r="M97" s="10"/>
      <c r="N97" s="10"/>
    </row>
    <row r="98" spans="1:14" x14ac:dyDescent="0.35">
      <c r="A98" s="10"/>
      <c r="B98" s="10"/>
      <c r="C98" s="43" t="str">
        <f>IF(B98="","",IFERROR(INDEX(Assessment!$E$5:$E$2000,MATCH(B98,Assessment!$A$5:$A$2000,0)),"Not found"))</f>
        <v/>
      </c>
      <c r="D98" s="10"/>
      <c r="E98" s="10"/>
      <c r="F98" s="10"/>
      <c r="G98" s="10"/>
      <c r="H98" s="10"/>
      <c r="I98" s="14"/>
      <c r="J98" s="10"/>
      <c r="K98" s="10"/>
      <c r="L98" s="10"/>
      <c r="M98" s="10"/>
      <c r="N98" s="10"/>
    </row>
    <row r="99" spans="1:14" x14ac:dyDescent="0.35">
      <c r="A99" s="10"/>
      <c r="B99" s="10"/>
      <c r="C99" s="43" t="str">
        <f>IF(B99="","",IFERROR(INDEX(Assessment!$E$5:$E$2000,MATCH(B99,Assessment!$A$5:$A$2000,0)),"Not found"))</f>
        <v/>
      </c>
      <c r="D99" s="10"/>
      <c r="E99" s="10"/>
      <c r="F99" s="10"/>
      <c r="G99" s="10"/>
      <c r="H99" s="10"/>
      <c r="I99" s="14"/>
      <c r="J99" s="10"/>
      <c r="K99" s="10"/>
      <c r="L99" s="10"/>
      <c r="M99" s="10"/>
      <c r="N99" s="10"/>
    </row>
    <row r="100" spans="1:14" x14ac:dyDescent="0.35">
      <c r="A100" s="10"/>
      <c r="B100" s="10"/>
      <c r="C100" s="43" t="str">
        <f>IF(B100="","",IFERROR(INDEX(Assessment!$E$5:$E$2000,MATCH(B100,Assessment!$A$5:$A$2000,0)),"Not found"))</f>
        <v/>
      </c>
      <c r="D100" s="10"/>
      <c r="E100" s="10"/>
      <c r="F100" s="10"/>
      <c r="G100" s="10"/>
      <c r="H100" s="10"/>
      <c r="I100" s="14"/>
      <c r="J100" s="10"/>
      <c r="K100" s="10"/>
      <c r="L100" s="10"/>
      <c r="M100" s="10"/>
      <c r="N100" s="10"/>
    </row>
    <row r="101" spans="1:14" x14ac:dyDescent="0.35">
      <c r="A101" s="10"/>
      <c r="B101" s="10"/>
      <c r="C101" s="43" t="str">
        <f>IF(B101="","",IFERROR(INDEX(Assessment!$E$5:$E$2000,MATCH(B101,Assessment!$A$5:$A$2000,0)),"Not found"))</f>
        <v/>
      </c>
      <c r="D101" s="10"/>
      <c r="E101" s="10"/>
      <c r="F101" s="10"/>
      <c r="G101" s="10"/>
      <c r="H101" s="10"/>
      <c r="I101" s="14"/>
      <c r="J101" s="10"/>
      <c r="K101" s="10"/>
      <c r="L101" s="10"/>
      <c r="M101" s="10"/>
      <c r="N101" s="10"/>
    </row>
    <row r="102" spans="1:14" x14ac:dyDescent="0.35">
      <c r="A102" s="10"/>
      <c r="B102" s="10"/>
      <c r="C102" s="43" t="str">
        <f>IF(B102="","",IFERROR(INDEX(Assessment!$E$5:$E$2000,MATCH(B102,Assessment!$A$5:$A$2000,0)),"Not found"))</f>
        <v/>
      </c>
      <c r="D102" s="10"/>
      <c r="E102" s="10"/>
      <c r="F102" s="10"/>
      <c r="G102" s="10"/>
      <c r="H102" s="10"/>
      <c r="I102" s="14"/>
      <c r="J102" s="10"/>
      <c r="K102" s="10"/>
      <c r="L102" s="10"/>
      <c r="M102" s="10"/>
      <c r="N102" s="10"/>
    </row>
    <row r="103" spans="1:14" x14ac:dyDescent="0.35">
      <c r="A103" s="10"/>
      <c r="B103" s="10"/>
      <c r="C103" s="43" t="str">
        <f>IF(B103="","",IFERROR(INDEX(Assessment!$E$5:$E$2000,MATCH(B103,Assessment!$A$5:$A$2000,0)),"Not found"))</f>
        <v/>
      </c>
      <c r="D103" s="10"/>
      <c r="E103" s="10"/>
      <c r="F103" s="10"/>
      <c r="G103" s="10"/>
      <c r="H103" s="10"/>
      <c r="I103" s="14"/>
      <c r="J103" s="10"/>
      <c r="K103" s="10"/>
      <c r="L103" s="10"/>
      <c r="M103" s="10"/>
      <c r="N103" s="10"/>
    </row>
    <row r="104" spans="1:14" x14ac:dyDescent="0.35">
      <c r="A104" s="10"/>
      <c r="B104" s="10"/>
      <c r="C104" s="43" t="str">
        <f>IF(B104="","",IFERROR(INDEX(Assessment!$E$5:$E$2000,MATCH(B104,Assessment!$A$5:$A$2000,0)),"Not found"))</f>
        <v/>
      </c>
      <c r="D104" s="10"/>
      <c r="E104" s="10"/>
      <c r="F104" s="10"/>
      <c r="G104" s="10"/>
      <c r="H104" s="10"/>
      <c r="I104" s="14"/>
      <c r="J104" s="10"/>
      <c r="K104" s="10"/>
      <c r="L104" s="10"/>
      <c r="M104" s="10"/>
      <c r="N104" s="10"/>
    </row>
    <row r="105" spans="1:14" x14ac:dyDescent="0.35">
      <c r="A105" s="10"/>
      <c r="B105" s="10"/>
      <c r="C105" s="43" t="str">
        <f>IF(B105="","",IFERROR(INDEX(Assessment!$E$5:$E$2000,MATCH(B105,Assessment!$A$5:$A$2000,0)),"Not found"))</f>
        <v/>
      </c>
      <c r="D105" s="10"/>
      <c r="E105" s="10"/>
      <c r="F105" s="10"/>
      <c r="G105" s="10"/>
      <c r="H105" s="10"/>
      <c r="I105" s="14"/>
      <c r="J105" s="10"/>
      <c r="K105" s="10"/>
      <c r="L105" s="10"/>
      <c r="M105" s="10"/>
      <c r="N105" s="10"/>
    </row>
    <row r="106" spans="1:14" x14ac:dyDescent="0.35">
      <c r="A106" s="10"/>
      <c r="B106" s="10"/>
      <c r="C106" s="43" t="str">
        <f>IF(B106="","",IFERROR(INDEX(Assessment!$E$5:$E$2000,MATCH(B106,Assessment!$A$5:$A$2000,0)),"Not found"))</f>
        <v/>
      </c>
      <c r="D106" s="10"/>
      <c r="E106" s="10"/>
      <c r="F106" s="10"/>
      <c r="G106" s="10"/>
      <c r="H106" s="10"/>
      <c r="I106" s="14"/>
      <c r="J106" s="10"/>
      <c r="K106" s="10"/>
      <c r="L106" s="10"/>
      <c r="M106" s="10"/>
      <c r="N106" s="10"/>
    </row>
    <row r="107" spans="1:14" x14ac:dyDescent="0.35">
      <c r="A107" s="10"/>
      <c r="B107" s="10"/>
      <c r="C107" s="43" t="str">
        <f>IF(B107="","",IFERROR(INDEX(Assessment!$E$5:$E$2000,MATCH(B107,Assessment!$A$5:$A$2000,0)),"Not found"))</f>
        <v/>
      </c>
      <c r="D107" s="10"/>
      <c r="E107" s="10"/>
      <c r="F107" s="10"/>
      <c r="G107" s="10"/>
      <c r="H107" s="10"/>
      <c r="I107" s="14"/>
      <c r="J107" s="10"/>
      <c r="K107" s="10"/>
      <c r="L107" s="10"/>
      <c r="M107" s="10"/>
      <c r="N107" s="10"/>
    </row>
    <row r="108" spans="1:14" x14ac:dyDescent="0.35">
      <c r="A108" s="10"/>
      <c r="B108" s="10"/>
      <c r="C108" s="43" t="str">
        <f>IF(B108="","",IFERROR(INDEX(Assessment!$E$5:$E$2000,MATCH(B108,Assessment!$A$5:$A$2000,0)),"Not found"))</f>
        <v/>
      </c>
      <c r="D108" s="10"/>
      <c r="E108" s="10"/>
      <c r="F108" s="10"/>
      <c r="G108" s="10"/>
      <c r="H108" s="10"/>
      <c r="I108" s="14"/>
      <c r="J108" s="10"/>
      <c r="K108" s="10"/>
      <c r="L108" s="10"/>
      <c r="M108" s="10"/>
      <c r="N108" s="10"/>
    </row>
    <row r="109" spans="1:14" x14ac:dyDescent="0.35">
      <c r="A109" s="10"/>
      <c r="B109" s="10"/>
      <c r="C109" s="43" t="str">
        <f>IF(B109="","",IFERROR(INDEX(Assessment!$E$5:$E$2000,MATCH(B109,Assessment!$A$5:$A$2000,0)),"Not found"))</f>
        <v/>
      </c>
      <c r="D109" s="10"/>
      <c r="E109" s="10"/>
      <c r="F109" s="10"/>
      <c r="G109" s="10"/>
      <c r="H109" s="10"/>
      <c r="I109" s="14"/>
      <c r="J109" s="10"/>
      <c r="K109" s="10"/>
      <c r="L109" s="10"/>
      <c r="M109" s="10"/>
      <c r="N109" s="10"/>
    </row>
    <row r="110" spans="1:14" x14ac:dyDescent="0.35">
      <c r="A110" s="10"/>
      <c r="B110" s="10"/>
      <c r="C110" s="43" t="str">
        <f>IF(B110="","",IFERROR(INDEX(Assessment!$E$5:$E$2000,MATCH(B110,Assessment!$A$5:$A$2000,0)),"Not found"))</f>
        <v/>
      </c>
      <c r="D110" s="10"/>
      <c r="E110" s="10"/>
      <c r="F110" s="10"/>
      <c r="G110" s="10"/>
      <c r="H110" s="10"/>
      <c r="I110" s="14"/>
      <c r="J110" s="10"/>
      <c r="K110" s="10"/>
      <c r="L110" s="10"/>
      <c r="M110" s="10"/>
      <c r="N110" s="10"/>
    </row>
    <row r="111" spans="1:14" x14ac:dyDescent="0.35">
      <c r="A111" s="10"/>
      <c r="B111" s="10"/>
      <c r="C111" s="43" t="str">
        <f>IF(B111="","",IFERROR(INDEX(Assessment!$E$5:$E$2000,MATCH(B111,Assessment!$A$5:$A$2000,0)),"Not found"))</f>
        <v/>
      </c>
      <c r="D111" s="10"/>
      <c r="E111" s="10"/>
      <c r="F111" s="10"/>
      <c r="G111" s="10"/>
      <c r="H111" s="10"/>
      <c r="I111" s="14"/>
      <c r="J111" s="10"/>
      <c r="K111" s="10"/>
      <c r="L111" s="10"/>
      <c r="M111" s="10"/>
      <c r="N111" s="10"/>
    </row>
    <row r="112" spans="1:14" x14ac:dyDescent="0.35">
      <c r="A112" s="10"/>
      <c r="B112" s="10"/>
      <c r="C112" s="43" t="str">
        <f>IF(B112="","",IFERROR(INDEX(Assessment!$E$5:$E$2000,MATCH(B112,Assessment!$A$5:$A$2000,0)),"Not found"))</f>
        <v/>
      </c>
      <c r="D112" s="10"/>
      <c r="E112" s="10"/>
      <c r="F112" s="10"/>
      <c r="G112" s="10"/>
      <c r="H112" s="10"/>
      <c r="I112" s="14"/>
      <c r="J112" s="10"/>
      <c r="K112" s="10"/>
      <c r="L112" s="10"/>
      <c r="M112" s="10"/>
      <c r="N112" s="10"/>
    </row>
    <row r="113" spans="1:14" x14ac:dyDescent="0.35">
      <c r="A113" s="10"/>
      <c r="B113" s="10"/>
      <c r="C113" s="43" t="str">
        <f>IF(B113="","",IFERROR(INDEX(Assessment!$E$5:$E$2000,MATCH(B113,Assessment!$A$5:$A$2000,0)),"Not found"))</f>
        <v/>
      </c>
      <c r="D113" s="10"/>
      <c r="E113" s="10"/>
      <c r="F113" s="10"/>
      <c r="G113" s="10"/>
      <c r="H113" s="10"/>
      <c r="I113" s="14"/>
      <c r="J113" s="10"/>
      <c r="K113" s="10"/>
      <c r="L113" s="10"/>
      <c r="M113" s="10"/>
      <c r="N113" s="10"/>
    </row>
    <row r="114" spans="1:14" x14ac:dyDescent="0.35">
      <c r="A114" s="10"/>
      <c r="B114" s="10"/>
      <c r="C114" s="43" t="str">
        <f>IF(B114="","",IFERROR(INDEX(Assessment!$E$5:$E$2000,MATCH(B114,Assessment!$A$5:$A$2000,0)),"Not found"))</f>
        <v/>
      </c>
      <c r="D114" s="10"/>
      <c r="E114" s="10"/>
      <c r="F114" s="10"/>
      <c r="G114" s="10"/>
      <c r="H114" s="10"/>
      <c r="I114" s="14"/>
      <c r="J114" s="10"/>
      <c r="K114" s="10"/>
      <c r="L114" s="10"/>
      <c r="M114" s="10"/>
      <c r="N114" s="10"/>
    </row>
    <row r="115" spans="1:14" x14ac:dyDescent="0.35">
      <c r="A115" s="10"/>
      <c r="B115" s="10"/>
      <c r="C115" s="43" t="str">
        <f>IF(B115="","",IFERROR(INDEX(Assessment!$E$5:$E$2000,MATCH(B115,Assessment!$A$5:$A$2000,0)),"Not found"))</f>
        <v/>
      </c>
      <c r="D115" s="10"/>
      <c r="E115" s="10"/>
      <c r="F115" s="10"/>
      <c r="G115" s="10"/>
      <c r="H115" s="10"/>
      <c r="I115" s="14"/>
      <c r="J115" s="10"/>
      <c r="K115" s="10"/>
      <c r="L115" s="10"/>
      <c r="M115" s="10"/>
      <c r="N115" s="10"/>
    </row>
    <row r="116" spans="1:14" x14ac:dyDescent="0.35">
      <c r="A116" s="10"/>
      <c r="B116" s="10"/>
      <c r="C116" s="43" t="str">
        <f>IF(B116="","",IFERROR(INDEX(Assessment!$E$5:$E$2000,MATCH(B116,Assessment!$A$5:$A$2000,0)),"Not found"))</f>
        <v/>
      </c>
      <c r="D116" s="10"/>
      <c r="E116" s="10"/>
      <c r="F116" s="10"/>
      <c r="G116" s="10"/>
      <c r="H116" s="10"/>
      <c r="I116" s="14"/>
      <c r="J116" s="10"/>
      <c r="K116" s="10"/>
      <c r="L116" s="10"/>
      <c r="M116" s="10"/>
      <c r="N116" s="10"/>
    </row>
    <row r="117" spans="1:14" x14ac:dyDescent="0.35">
      <c r="A117" s="10"/>
      <c r="B117" s="10"/>
      <c r="C117" s="43" t="str">
        <f>IF(B117="","",IFERROR(INDEX(Assessment!$E$5:$E$2000,MATCH(B117,Assessment!$A$5:$A$2000,0)),"Not found"))</f>
        <v/>
      </c>
      <c r="D117" s="10"/>
      <c r="E117" s="10"/>
      <c r="F117" s="10"/>
      <c r="G117" s="10"/>
      <c r="H117" s="10"/>
      <c r="I117" s="14"/>
      <c r="J117" s="10"/>
      <c r="K117" s="10"/>
      <c r="L117" s="10"/>
      <c r="M117" s="10"/>
      <c r="N117" s="10"/>
    </row>
    <row r="118" spans="1:14" x14ac:dyDescent="0.35">
      <c r="A118" s="10"/>
      <c r="B118" s="10"/>
      <c r="C118" s="43" t="str">
        <f>IF(B118="","",IFERROR(INDEX(Assessment!$E$5:$E$2000,MATCH(B118,Assessment!$A$5:$A$2000,0)),"Not found"))</f>
        <v/>
      </c>
      <c r="D118" s="10"/>
      <c r="E118" s="10"/>
      <c r="F118" s="10"/>
      <c r="G118" s="10"/>
      <c r="H118" s="10"/>
      <c r="I118" s="14"/>
      <c r="J118" s="10"/>
      <c r="K118" s="10"/>
      <c r="L118" s="10"/>
      <c r="M118" s="10"/>
      <c r="N118" s="10"/>
    </row>
    <row r="119" spans="1:14" x14ac:dyDescent="0.35">
      <c r="A119" s="10"/>
      <c r="B119" s="10"/>
      <c r="C119" s="43" t="str">
        <f>IF(B119="","",IFERROR(INDEX(Assessment!$E$5:$E$2000,MATCH(B119,Assessment!$A$5:$A$2000,0)),"Not found"))</f>
        <v/>
      </c>
      <c r="D119" s="10"/>
      <c r="E119" s="10"/>
      <c r="F119" s="10"/>
      <c r="G119" s="10"/>
      <c r="H119" s="10"/>
      <c r="I119" s="14"/>
      <c r="J119" s="10"/>
      <c r="K119" s="10"/>
      <c r="L119" s="10"/>
      <c r="M119" s="10"/>
      <c r="N119" s="10"/>
    </row>
    <row r="120" spans="1:14" x14ac:dyDescent="0.35">
      <c r="A120" s="10"/>
      <c r="B120" s="10"/>
      <c r="C120" s="43" t="str">
        <f>IF(B120="","",IFERROR(INDEX(Assessment!$E$5:$E$2000,MATCH(B120,Assessment!$A$5:$A$2000,0)),"Not found"))</f>
        <v/>
      </c>
      <c r="D120" s="10"/>
      <c r="E120" s="10"/>
      <c r="F120" s="10"/>
      <c r="G120" s="10"/>
      <c r="H120" s="10"/>
      <c r="I120" s="14"/>
      <c r="J120" s="10"/>
      <c r="K120" s="10"/>
      <c r="L120" s="10"/>
      <c r="M120" s="10"/>
      <c r="N120" s="10"/>
    </row>
    <row r="121" spans="1:14" x14ac:dyDescent="0.35">
      <c r="A121" s="10"/>
      <c r="B121" s="10"/>
      <c r="C121" s="43" t="str">
        <f>IF(B121="","",IFERROR(INDEX(Assessment!$E$5:$E$2000,MATCH(B121,Assessment!$A$5:$A$2000,0)),"Not found"))</f>
        <v/>
      </c>
      <c r="D121" s="10"/>
      <c r="E121" s="10"/>
      <c r="F121" s="10"/>
      <c r="G121" s="10"/>
      <c r="H121" s="10"/>
      <c r="I121" s="14"/>
      <c r="J121" s="10"/>
      <c r="K121" s="10"/>
      <c r="L121" s="10"/>
      <c r="M121" s="10"/>
      <c r="N121" s="10"/>
    </row>
    <row r="122" spans="1:14" x14ac:dyDescent="0.35">
      <c r="A122" s="10"/>
      <c r="B122" s="10"/>
      <c r="C122" s="43" t="str">
        <f>IF(B122="","",IFERROR(INDEX(Assessment!$E$5:$E$2000,MATCH(B122,Assessment!$A$5:$A$2000,0)),"Not found"))</f>
        <v/>
      </c>
      <c r="D122" s="10"/>
      <c r="E122" s="10"/>
      <c r="F122" s="10"/>
      <c r="G122" s="10"/>
      <c r="H122" s="10"/>
      <c r="I122" s="14"/>
      <c r="J122" s="10"/>
      <c r="K122" s="10"/>
      <c r="L122" s="10"/>
      <c r="M122" s="10"/>
      <c r="N122" s="10"/>
    </row>
    <row r="123" spans="1:14" x14ac:dyDescent="0.35">
      <c r="A123" s="10"/>
      <c r="B123" s="10"/>
      <c r="C123" s="43" t="str">
        <f>IF(B123="","",IFERROR(INDEX(Assessment!$E$5:$E$2000,MATCH(B123,Assessment!$A$5:$A$2000,0)),"Not found"))</f>
        <v/>
      </c>
      <c r="D123" s="10"/>
      <c r="E123" s="10"/>
      <c r="F123" s="10"/>
      <c r="G123" s="10"/>
      <c r="H123" s="10"/>
      <c r="I123" s="14"/>
      <c r="J123" s="10"/>
      <c r="K123" s="10"/>
      <c r="L123" s="10"/>
      <c r="M123" s="10"/>
      <c r="N123" s="10"/>
    </row>
    <row r="124" spans="1:14" x14ac:dyDescent="0.35">
      <c r="A124" s="10"/>
      <c r="B124" s="10"/>
      <c r="C124" s="43" t="str">
        <f>IF(B124="","",IFERROR(INDEX(Assessment!$E$5:$E$2000,MATCH(B124,Assessment!$A$5:$A$2000,0)),"Not found"))</f>
        <v/>
      </c>
      <c r="D124" s="10"/>
      <c r="E124" s="10"/>
      <c r="F124" s="10"/>
      <c r="G124" s="10"/>
      <c r="H124" s="10"/>
      <c r="I124" s="14"/>
      <c r="J124" s="10"/>
      <c r="K124" s="10"/>
      <c r="L124" s="10"/>
      <c r="M124" s="10"/>
      <c r="N124" s="10"/>
    </row>
    <row r="125" spans="1:14" x14ac:dyDescent="0.35">
      <c r="A125" s="10"/>
      <c r="B125" s="10"/>
      <c r="C125" s="43" t="str">
        <f>IF(B125="","",IFERROR(INDEX(Assessment!$E$5:$E$2000,MATCH(B125,Assessment!$A$5:$A$2000,0)),"Not found"))</f>
        <v/>
      </c>
      <c r="D125" s="10"/>
      <c r="E125" s="10"/>
      <c r="F125" s="10"/>
      <c r="G125" s="10"/>
      <c r="H125" s="10"/>
      <c r="I125" s="14"/>
      <c r="J125" s="10"/>
      <c r="K125" s="10"/>
      <c r="L125" s="10"/>
      <c r="M125" s="10"/>
      <c r="N125" s="10"/>
    </row>
    <row r="126" spans="1:14" x14ac:dyDescent="0.35">
      <c r="A126" s="10"/>
      <c r="B126" s="10"/>
      <c r="C126" s="43" t="str">
        <f>IF(B126="","",IFERROR(INDEX(Assessment!$E$5:$E$2000,MATCH(B126,Assessment!$A$5:$A$2000,0)),"Not found"))</f>
        <v/>
      </c>
      <c r="D126" s="10"/>
      <c r="E126" s="10"/>
      <c r="F126" s="10"/>
      <c r="G126" s="10"/>
      <c r="H126" s="10"/>
      <c r="I126" s="14"/>
      <c r="J126" s="10"/>
      <c r="K126" s="10"/>
      <c r="L126" s="10"/>
      <c r="M126" s="10"/>
      <c r="N126" s="10"/>
    </row>
    <row r="127" spans="1:14" x14ac:dyDescent="0.35">
      <c r="A127" s="10"/>
      <c r="B127" s="10"/>
      <c r="C127" s="43" t="str">
        <f>IF(B127="","",IFERROR(INDEX(Assessment!$E$5:$E$2000,MATCH(B127,Assessment!$A$5:$A$2000,0)),"Not found"))</f>
        <v/>
      </c>
      <c r="D127" s="10"/>
      <c r="E127" s="10"/>
      <c r="F127" s="10"/>
      <c r="G127" s="10"/>
      <c r="H127" s="10"/>
      <c r="I127" s="14"/>
      <c r="J127" s="10"/>
      <c r="K127" s="10"/>
      <c r="L127" s="10"/>
      <c r="M127" s="10"/>
      <c r="N127" s="10"/>
    </row>
    <row r="128" spans="1:14" x14ac:dyDescent="0.35">
      <c r="A128" s="10"/>
      <c r="B128" s="10"/>
      <c r="C128" s="43" t="str">
        <f>IF(B128="","",IFERROR(INDEX(Assessment!$E$5:$E$2000,MATCH(B128,Assessment!$A$5:$A$2000,0)),"Not found"))</f>
        <v/>
      </c>
      <c r="D128" s="10"/>
      <c r="E128" s="10"/>
      <c r="F128" s="10"/>
      <c r="G128" s="10"/>
      <c r="H128" s="10"/>
      <c r="I128" s="14"/>
      <c r="J128" s="10"/>
      <c r="K128" s="10"/>
      <c r="L128" s="10"/>
      <c r="M128" s="10"/>
      <c r="N128" s="10"/>
    </row>
    <row r="129" spans="1:14" x14ac:dyDescent="0.35">
      <c r="A129" s="10"/>
      <c r="B129" s="10"/>
      <c r="C129" s="43" t="str">
        <f>IF(B129="","",IFERROR(INDEX(Assessment!$E$5:$E$2000,MATCH(B129,Assessment!$A$5:$A$2000,0)),"Not found"))</f>
        <v/>
      </c>
      <c r="D129" s="10"/>
      <c r="E129" s="10"/>
      <c r="F129" s="10"/>
      <c r="G129" s="10"/>
      <c r="H129" s="10"/>
      <c r="I129" s="14"/>
      <c r="J129" s="10"/>
      <c r="K129" s="10"/>
      <c r="L129" s="10"/>
      <c r="M129" s="10"/>
      <c r="N129" s="10"/>
    </row>
    <row r="130" spans="1:14" x14ac:dyDescent="0.35">
      <c r="A130" s="10"/>
      <c r="B130" s="10"/>
      <c r="C130" s="43" t="str">
        <f>IF(B130="","",IFERROR(INDEX(Assessment!$E$5:$E$2000,MATCH(B130,Assessment!$A$5:$A$2000,0)),"Not found"))</f>
        <v/>
      </c>
      <c r="D130" s="10"/>
      <c r="E130" s="10"/>
      <c r="F130" s="10"/>
      <c r="G130" s="10"/>
      <c r="H130" s="10"/>
      <c r="I130" s="14"/>
      <c r="J130" s="10"/>
      <c r="K130" s="10"/>
      <c r="L130" s="10"/>
      <c r="M130" s="10"/>
      <c r="N130" s="10"/>
    </row>
    <row r="131" spans="1:14" x14ac:dyDescent="0.35">
      <c r="A131" s="10"/>
      <c r="B131" s="10"/>
      <c r="C131" s="43" t="str">
        <f>IF(B131="","",IFERROR(INDEX(Assessment!$E$5:$E$2000,MATCH(B131,Assessment!$A$5:$A$2000,0)),"Not found"))</f>
        <v/>
      </c>
      <c r="D131" s="10"/>
      <c r="E131" s="10"/>
      <c r="F131" s="10"/>
      <c r="G131" s="10"/>
      <c r="H131" s="10"/>
      <c r="I131" s="14"/>
      <c r="J131" s="10"/>
      <c r="K131" s="10"/>
      <c r="L131" s="10"/>
      <c r="M131" s="10"/>
      <c r="N131" s="10"/>
    </row>
    <row r="132" spans="1:14" x14ac:dyDescent="0.35">
      <c r="A132" s="10"/>
      <c r="B132" s="10"/>
      <c r="C132" s="43" t="str">
        <f>IF(B132="","",IFERROR(INDEX(Assessment!$E$5:$E$2000,MATCH(B132,Assessment!$A$5:$A$2000,0)),"Not found"))</f>
        <v/>
      </c>
      <c r="D132" s="10"/>
      <c r="E132" s="10"/>
      <c r="F132" s="10"/>
      <c r="G132" s="10"/>
      <c r="H132" s="10"/>
      <c r="I132" s="14"/>
      <c r="J132" s="10"/>
      <c r="K132" s="10"/>
      <c r="L132" s="10"/>
      <c r="M132" s="10"/>
      <c r="N132" s="10"/>
    </row>
    <row r="133" spans="1:14" x14ac:dyDescent="0.35">
      <c r="A133" s="10"/>
      <c r="B133" s="10"/>
      <c r="C133" s="43" t="str">
        <f>IF(B133="","",IFERROR(INDEX(Assessment!$E$5:$E$2000,MATCH(B133,Assessment!$A$5:$A$2000,0)),"Not found"))</f>
        <v/>
      </c>
      <c r="D133" s="10"/>
      <c r="E133" s="10"/>
      <c r="F133" s="10"/>
      <c r="G133" s="10"/>
      <c r="H133" s="10"/>
      <c r="I133" s="14"/>
      <c r="J133" s="10"/>
      <c r="K133" s="10"/>
      <c r="L133" s="10"/>
      <c r="M133" s="10"/>
      <c r="N133" s="10"/>
    </row>
    <row r="134" spans="1:14" x14ac:dyDescent="0.35">
      <c r="A134" s="10"/>
      <c r="B134" s="10"/>
      <c r="C134" s="43" t="str">
        <f>IF(B134="","",IFERROR(INDEX(Assessment!$E$5:$E$2000,MATCH(B134,Assessment!$A$5:$A$2000,0)),"Not found"))</f>
        <v/>
      </c>
      <c r="D134" s="10"/>
      <c r="E134" s="10"/>
      <c r="F134" s="10"/>
      <c r="G134" s="10"/>
      <c r="H134" s="10"/>
      <c r="I134" s="14"/>
      <c r="J134" s="10"/>
      <c r="K134" s="10"/>
      <c r="L134" s="10"/>
      <c r="M134" s="10"/>
      <c r="N134" s="10"/>
    </row>
    <row r="135" spans="1:14" x14ac:dyDescent="0.35">
      <c r="A135" s="10"/>
      <c r="B135" s="10"/>
      <c r="C135" s="43" t="str">
        <f>IF(B135="","",IFERROR(INDEX(Assessment!$E$5:$E$2000,MATCH(B135,Assessment!$A$5:$A$2000,0)),"Not found"))</f>
        <v/>
      </c>
      <c r="D135" s="10"/>
      <c r="E135" s="10"/>
      <c r="F135" s="10"/>
      <c r="G135" s="10"/>
      <c r="H135" s="10"/>
      <c r="I135" s="14"/>
      <c r="J135" s="10"/>
      <c r="K135" s="10"/>
      <c r="L135" s="10"/>
      <c r="M135" s="10"/>
      <c r="N135" s="10"/>
    </row>
    <row r="136" spans="1:14" x14ac:dyDescent="0.35">
      <c r="A136" s="10"/>
      <c r="B136" s="10"/>
      <c r="C136" s="43" t="str">
        <f>IF(B136="","",IFERROR(INDEX(Assessment!$E$5:$E$2000,MATCH(B136,Assessment!$A$5:$A$2000,0)),"Not found"))</f>
        <v/>
      </c>
      <c r="D136" s="10"/>
      <c r="E136" s="10"/>
      <c r="F136" s="10"/>
      <c r="G136" s="10"/>
      <c r="H136" s="10"/>
      <c r="I136" s="14"/>
      <c r="J136" s="10"/>
      <c r="K136" s="10"/>
      <c r="L136" s="10"/>
      <c r="M136" s="10"/>
      <c r="N136" s="10"/>
    </row>
    <row r="137" spans="1:14" x14ac:dyDescent="0.35">
      <c r="A137" s="10"/>
      <c r="B137" s="10"/>
      <c r="C137" s="43" t="str">
        <f>IF(B137="","",IFERROR(INDEX(Assessment!$E$5:$E$2000,MATCH(B137,Assessment!$A$5:$A$2000,0)),"Not found"))</f>
        <v/>
      </c>
      <c r="D137" s="10"/>
      <c r="E137" s="10"/>
      <c r="F137" s="10"/>
      <c r="G137" s="10"/>
      <c r="H137" s="10"/>
      <c r="I137" s="14"/>
      <c r="J137" s="10"/>
      <c r="K137" s="10"/>
      <c r="L137" s="10"/>
      <c r="M137" s="10"/>
      <c r="N137" s="10"/>
    </row>
    <row r="138" spans="1:14" x14ac:dyDescent="0.35">
      <c r="A138" s="10"/>
      <c r="B138" s="10"/>
      <c r="C138" s="43" t="str">
        <f>IF(B138="","",IFERROR(INDEX(Assessment!$E$5:$E$2000,MATCH(B138,Assessment!$A$5:$A$2000,0)),"Not found"))</f>
        <v/>
      </c>
      <c r="D138" s="10"/>
      <c r="E138" s="10"/>
      <c r="F138" s="10"/>
      <c r="G138" s="10"/>
      <c r="H138" s="10"/>
      <c r="I138" s="14"/>
      <c r="J138" s="10"/>
      <c r="K138" s="10"/>
      <c r="L138" s="10"/>
      <c r="M138" s="10"/>
      <c r="N138" s="10"/>
    </row>
    <row r="139" spans="1:14" x14ac:dyDescent="0.35">
      <c r="A139" s="10"/>
      <c r="B139" s="10"/>
      <c r="C139" s="43" t="str">
        <f>IF(B139="","",IFERROR(INDEX(Assessment!$E$5:$E$2000,MATCH(B139,Assessment!$A$5:$A$2000,0)),"Not found"))</f>
        <v/>
      </c>
      <c r="D139" s="10"/>
      <c r="E139" s="10"/>
      <c r="F139" s="10"/>
      <c r="G139" s="10"/>
      <c r="H139" s="10"/>
      <c r="I139" s="14"/>
      <c r="J139" s="10"/>
      <c r="K139" s="10"/>
      <c r="L139" s="10"/>
      <c r="M139" s="10"/>
      <c r="N139" s="10"/>
    </row>
    <row r="140" spans="1:14" x14ac:dyDescent="0.35">
      <c r="A140" s="10"/>
      <c r="B140" s="10"/>
      <c r="C140" s="43" t="str">
        <f>IF(B140="","",IFERROR(INDEX(Assessment!$E$5:$E$2000,MATCH(B140,Assessment!$A$5:$A$2000,0)),"Not found"))</f>
        <v/>
      </c>
      <c r="D140" s="10"/>
      <c r="E140" s="10"/>
      <c r="F140" s="10"/>
      <c r="G140" s="10"/>
      <c r="H140" s="10"/>
      <c r="I140" s="14"/>
      <c r="J140" s="10"/>
      <c r="K140" s="10"/>
      <c r="L140" s="10"/>
      <c r="M140" s="10"/>
      <c r="N140" s="10"/>
    </row>
    <row r="141" spans="1:14" x14ac:dyDescent="0.35">
      <c r="A141" s="10"/>
      <c r="B141" s="10"/>
      <c r="C141" s="43" t="str">
        <f>IF(B141="","",IFERROR(INDEX(Assessment!$E$5:$E$2000,MATCH(B141,Assessment!$A$5:$A$2000,0)),"Not found"))</f>
        <v/>
      </c>
      <c r="D141" s="10"/>
      <c r="E141" s="10"/>
      <c r="F141" s="10"/>
      <c r="G141" s="10"/>
      <c r="H141" s="10"/>
      <c r="I141" s="14"/>
      <c r="J141" s="10"/>
      <c r="K141" s="10"/>
      <c r="L141" s="10"/>
      <c r="M141" s="10"/>
      <c r="N141" s="10"/>
    </row>
    <row r="142" spans="1:14" x14ac:dyDescent="0.35">
      <c r="A142" s="10"/>
      <c r="B142" s="10"/>
      <c r="C142" s="43" t="str">
        <f>IF(B142="","",IFERROR(INDEX(Assessment!$E$5:$E$2000,MATCH(B142,Assessment!$A$5:$A$2000,0)),"Not found"))</f>
        <v/>
      </c>
      <c r="D142" s="10"/>
      <c r="E142" s="10"/>
      <c r="F142" s="10"/>
      <c r="G142" s="10"/>
      <c r="H142" s="10"/>
      <c r="I142" s="14"/>
      <c r="J142" s="10"/>
      <c r="K142" s="10"/>
      <c r="L142" s="10"/>
      <c r="M142" s="10"/>
      <c r="N142" s="10"/>
    </row>
    <row r="143" spans="1:14" x14ac:dyDescent="0.35">
      <c r="A143" s="10"/>
      <c r="B143" s="10"/>
      <c r="C143" s="43" t="str">
        <f>IF(B143="","",IFERROR(INDEX(Assessment!$E$5:$E$2000,MATCH(B143,Assessment!$A$5:$A$2000,0)),"Not found"))</f>
        <v/>
      </c>
      <c r="D143" s="10"/>
      <c r="E143" s="10"/>
      <c r="F143" s="10"/>
      <c r="G143" s="10"/>
      <c r="H143" s="10"/>
      <c r="I143" s="14"/>
      <c r="J143" s="10"/>
      <c r="K143" s="10"/>
      <c r="L143" s="10"/>
      <c r="M143" s="10"/>
      <c r="N143" s="10"/>
    </row>
    <row r="144" spans="1:14" x14ac:dyDescent="0.35">
      <c r="A144" s="10"/>
      <c r="B144" s="10"/>
      <c r="C144" s="43" t="str">
        <f>IF(B144="","",IFERROR(INDEX(Assessment!$E$5:$E$2000,MATCH(B144,Assessment!$A$5:$A$2000,0)),"Not found"))</f>
        <v/>
      </c>
      <c r="D144" s="10"/>
      <c r="E144" s="10"/>
      <c r="F144" s="10"/>
      <c r="G144" s="10"/>
      <c r="H144" s="10"/>
      <c r="I144" s="14"/>
      <c r="J144" s="10"/>
      <c r="K144" s="10"/>
      <c r="L144" s="10"/>
      <c r="M144" s="10"/>
      <c r="N144" s="10"/>
    </row>
    <row r="145" spans="1:14" x14ac:dyDescent="0.35">
      <c r="A145" s="10"/>
      <c r="B145" s="10"/>
      <c r="C145" s="43" t="str">
        <f>IF(B145="","",IFERROR(INDEX(Assessment!$E$5:$E$2000,MATCH(B145,Assessment!$A$5:$A$2000,0)),"Not found"))</f>
        <v/>
      </c>
      <c r="D145" s="10"/>
      <c r="E145" s="10"/>
      <c r="F145" s="10"/>
      <c r="G145" s="10"/>
      <c r="H145" s="10"/>
      <c r="I145" s="14"/>
      <c r="J145" s="10"/>
      <c r="K145" s="10"/>
      <c r="L145" s="10"/>
      <c r="M145" s="10"/>
      <c r="N145" s="10"/>
    </row>
    <row r="146" spans="1:14" x14ac:dyDescent="0.35">
      <c r="A146" s="10"/>
      <c r="B146" s="10"/>
      <c r="C146" s="43" t="str">
        <f>IF(B146="","",IFERROR(INDEX(Assessment!$E$5:$E$2000,MATCH(B146,Assessment!$A$5:$A$2000,0)),"Not found"))</f>
        <v/>
      </c>
      <c r="D146" s="10"/>
      <c r="E146" s="10"/>
      <c r="F146" s="10"/>
      <c r="G146" s="10"/>
      <c r="H146" s="10"/>
      <c r="I146" s="14"/>
      <c r="J146" s="10"/>
      <c r="K146" s="10"/>
      <c r="L146" s="10"/>
      <c r="M146" s="10"/>
      <c r="N146" s="10"/>
    </row>
    <row r="147" spans="1:14" x14ac:dyDescent="0.35">
      <c r="A147" s="10"/>
      <c r="B147" s="10"/>
      <c r="C147" s="43" t="str">
        <f>IF(B147="","",IFERROR(INDEX(Assessment!$E$5:$E$2000,MATCH(B147,Assessment!$A$5:$A$2000,0)),"Not found"))</f>
        <v/>
      </c>
      <c r="D147" s="10"/>
      <c r="E147" s="10"/>
      <c r="F147" s="10"/>
      <c r="G147" s="10"/>
      <c r="H147" s="10"/>
      <c r="I147" s="14"/>
      <c r="J147" s="10"/>
      <c r="K147" s="10"/>
      <c r="L147" s="10"/>
      <c r="M147" s="10"/>
      <c r="N147" s="10"/>
    </row>
    <row r="148" spans="1:14" x14ac:dyDescent="0.35">
      <c r="A148" s="10"/>
      <c r="B148" s="10"/>
      <c r="C148" s="43" t="str">
        <f>IF(B148="","",IFERROR(INDEX(Assessment!$E$5:$E$2000,MATCH(B148,Assessment!$A$5:$A$2000,0)),"Not found"))</f>
        <v/>
      </c>
      <c r="D148" s="10"/>
      <c r="E148" s="10"/>
      <c r="F148" s="10"/>
      <c r="G148" s="10"/>
      <c r="H148" s="10"/>
      <c r="I148" s="14"/>
      <c r="J148" s="10"/>
      <c r="K148" s="10"/>
      <c r="L148" s="10"/>
      <c r="M148" s="10"/>
      <c r="N148" s="10"/>
    </row>
    <row r="149" spans="1:14" x14ac:dyDescent="0.35">
      <c r="A149" s="10"/>
      <c r="B149" s="10"/>
      <c r="C149" s="43" t="str">
        <f>IF(B149="","",IFERROR(INDEX(Assessment!$E$5:$E$2000,MATCH(B149,Assessment!$A$5:$A$2000,0)),"Not found"))</f>
        <v/>
      </c>
      <c r="D149" s="10"/>
      <c r="E149" s="10"/>
      <c r="F149" s="10"/>
      <c r="G149" s="10"/>
      <c r="H149" s="10"/>
      <c r="I149" s="14"/>
      <c r="J149" s="10"/>
      <c r="K149" s="10"/>
      <c r="L149" s="10"/>
      <c r="M149" s="10"/>
      <c r="N149" s="10"/>
    </row>
    <row r="150" spans="1:14" x14ac:dyDescent="0.35">
      <c r="A150" s="10"/>
      <c r="B150" s="10"/>
      <c r="C150" s="43" t="str">
        <f>IF(B150="","",IFERROR(INDEX(Assessment!$E$5:$E$2000,MATCH(B150,Assessment!$A$5:$A$2000,0)),"Not found"))</f>
        <v/>
      </c>
      <c r="D150" s="10"/>
      <c r="E150" s="10"/>
      <c r="F150" s="10"/>
      <c r="G150" s="10"/>
      <c r="H150" s="10"/>
      <c r="I150" s="14"/>
      <c r="J150" s="10"/>
      <c r="K150" s="10"/>
      <c r="L150" s="10"/>
      <c r="M150" s="10"/>
      <c r="N150" s="10"/>
    </row>
    <row r="151" spans="1:14" x14ac:dyDescent="0.35">
      <c r="A151" s="10"/>
      <c r="B151" s="10"/>
      <c r="C151" s="43" t="str">
        <f>IF(B151="","",IFERROR(INDEX(Assessment!$E$5:$E$2000,MATCH(B151,Assessment!$A$5:$A$2000,0)),"Not found"))</f>
        <v/>
      </c>
      <c r="D151" s="10"/>
      <c r="E151" s="10"/>
      <c r="F151" s="10"/>
      <c r="G151" s="10"/>
      <c r="H151" s="10"/>
      <c r="I151" s="14"/>
      <c r="J151" s="10"/>
      <c r="K151" s="10"/>
      <c r="L151" s="10"/>
      <c r="M151" s="10"/>
      <c r="N151" s="10"/>
    </row>
    <row r="152" spans="1:14" x14ac:dyDescent="0.35">
      <c r="A152" s="10"/>
      <c r="B152" s="10"/>
      <c r="C152" s="43" t="str">
        <f>IF(B152="","",IFERROR(INDEX(Assessment!$E$5:$E$2000,MATCH(B152,Assessment!$A$5:$A$2000,0)),"Not found"))</f>
        <v/>
      </c>
      <c r="D152" s="10"/>
      <c r="E152" s="10"/>
      <c r="F152" s="10"/>
      <c r="G152" s="10"/>
      <c r="H152" s="10"/>
      <c r="I152" s="14"/>
      <c r="J152" s="10"/>
      <c r="K152" s="10"/>
      <c r="L152" s="10"/>
      <c r="M152" s="10"/>
      <c r="N152" s="10"/>
    </row>
    <row r="153" spans="1:14" x14ac:dyDescent="0.35">
      <c r="A153" s="10"/>
      <c r="B153" s="10"/>
      <c r="C153" s="43" t="str">
        <f>IF(B153="","",IFERROR(INDEX(Assessment!$E$5:$E$2000,MATCH(B153,Assessment!$A$5:$A$2000,0)),"Not found"))</f>
        <v/>
      </c>
      <c r="D153" s="10"/>
      <c r="E153" s="10"/>
      <c r="F153" s="10"/>
      <c r="G153" s="10"/>
      <c r="H153" s="10"/>
      <c r="I153" s="14"/>
      <c r="J153" s="10"/>
      <c r="K153" s="10"/>
      <c r="L153" s="10"/>
      <c r="M153" s="10"/>
      <c r="N153" s="10"/>
    </row>
    <row r="154" spans="1:14" x14ac:dyDescent="0.35">
      <c r="A154" s="10"/>
      <c r="B154" s="10"/>
      <c r="C154" s="43" t="str">
        <f>IF(B154="","",IFERROR(INDEX(Assessment!$E$5:$E$2000,MATCH(B154,Assessment!$A$5:$A$2000,0)),"Not found"))</f>
        <v/>
      </c>
      <c r="D154" s="10"/>
      <c r="E154" s="10"/>
      <c r="F154" s="10"/>
      <c r="G154" s="10"/>
      <c r="H154" s="10"/>
      <c r="I154" s="14"/>
      <c r="J154" s="10"/>
      <c r="K154" s="10"/>
      <c r="L154" s="10"/>
      <c r="M154" s="10"/>
      <c r="N154" s="10"/>
    </row>
    <row r="155" spans="1:14" x14ac:dyDescent="0.35">
      <c r="A155" s="10"/>
      <c r="B155" s="10"/>
      <c r="C155" s="43" t="str">
        <f>IF(B155="","",IFERROR(INDEX(Assessment!$E$5:$E$2000,MATCH(B155,Assessment!$A$5:$A$2000,0)),"Not found"))</f>
        <v/>
      </c>
      <c r="D155" s="10"/>
      <c r="E155" s="10"/>
      <c r="F155" s="10"/>
      <c r="G155" s="10"/>
      <c r="H155" s="10"/>
      <c r="I155" s="14"/>
      <c r="J155" s="10"/>
      <c r="K155" s="10"/>
      <c r="L155" s="10"/>
      <c r="M155" s="10"/>
      <c r="N155" s="10"/>
    </row>
    <row r="156" spans="1:14" x14ac:dyDescent="0.35">
      <c r="A156" s="10"/>
      <c r="B156" s="10"/>
      <c r="C156" s="43" t="str">
        <f>IF(B156="","",IFERROR(INDEX(Assessment!$E$5:$E$2000,MATCH(B156,Assessment!$A$5:$A$2000,0)),"Not found"))</f>
        <v/>
      </c>
      <c r="D156" s="10"/>
      <c r="E156" s="10"/>
      <c r="F156" s="10"/>
      <c r="G156" s="10"/>
      <c r="H156" s="10"/>
      <c r="I156" s="14"/>
      <c r="J156" s="10"/>
      <c r="K156" s="10"/>
      <c r="L156" s="10"/>
      <c r="M156" s="10"/>
      <c r="N156" s="10"/>
    </row>
    <row r="157" spans="1:14" x14ac:dyDescent="0.35">
      <c r="A157" s="10"/>
      <c r="B157" s="10"/>
      <c r="C157" s="43" t="str">
        <f>IF(B157="","",IFERROR(INDEX(Assessment!$E$5:$E$2000,MATCH(B157,Assessment!$A$5:$A$2000,0)),"Not found"))</f>
        <v/>
      </c>
      <c r="D157" s="10"/>
      <c r="E157" s="10"/>
      <c r="F157" s="10"/>
      <c r="G157" s="10"/>
      <c r="H157" s="10"/>
      <c r="I157" s="14"/>
      <c r="J157" s="10"/>
      <c r="K157" s="10"/>
      <c r="L157" s="10"/>
      <c r="M157" s="10"/>
      <c r="N157" s="10"/>
    </row>
    <row r="158" spans="1:14" x14ac:dyDescent="0.35">
      <c r="A158" s="10"/>
      <c r="B158" s="10"/>
      <c r="C158" s="43" t="str">
        <f>IF(B158="","",IFERROR(INDEX(Assessment!$E$5:$E$2000,MATCH(B158,Assessment!$A$5:$A$2000,0)),"Not found"))</f>
        <v/>
      </c>
      <c r="D158" s="10"/>
      <c r="E158" s="10"/>
      <c r="F158" s="10"/>
      <c r="G158" s="10"/>
      <c r="H158" s="10"/>
      <c r="I158" s="14"/>
      <c r="J158" s="10"/>
      <c r="K158" s="10"/>
      <c r="L158" s="10"/>
      <c r="M158" s="10"/>
      <c r="N158" s="10"/>
    </row>
    <row r="159" spans="1:14" x14ac:dyDescent="0.35">
      <c r="A159" s="10"/>
      <c r="B159" s="10"/>
      <c r="C159" s="43" t="str">
        <f>IF(B159="","",IFERROR(INDEX(Assessment!$E$5:$E$2000,MATCH(B159,Assessment!$A$5:$A$2000,0)),"Not found"))</f>
        <v/>
      </c>
      <c r="D159" s="10"/>
      <c r="E159" s="10"/>
      <c r="F159" s="10"/>
      <c r="G159" s="10"/>
      <c r="H159" s="10"/>
      <c r="I159" s="14"/>
      <c r="J159" s="10"/>
      <c r="K159" s="10"/>
      <c r="L159" s="10"/>
      <c r="M159" s="10"/>
      <c r="N159" s="10"/>
    </row>
    <row r="160" spans="1:14" x14ac:dyDescent="0.35">
      <c r="A160" s="10"/>
      <c r="B160" s="10"/>
      <c r="C160" s="43" t="str">
        <f>IF(B160="","",IFERROR(INDEX(Assessment!$E$5:$E$2000,MATCH(B160,Assessment!$A$5:$A$2000,0)),"Not found"))</f>
        <v/>
      </c>
      <c r="D160" s="10"/>
      <c r="E160" s="10"/>
      <c r="F160" s="10"/>
      <c r="G160" s="10"/>
      <c r="H160" s="10"/>
      <c r="I160" s="14"/>
      <c r="J160" s="10"/>
      <c r="K160" s="10"/>
      <c r="L160" s="10"/>
      <c r="M160" s="10"/>
      <c r="N160" s="10"/>
    </row>
    <row r="161" spans="1:14" x14ac:dyDescent="0.35">
      <c r="A161" s="10"/>
      <c r="B161" s="10"/>
      <c r="C161" s="43" t="str">
        <f>IF(B161="","",IFERROR(INDEX(Assessment!$E$5:$E$2000,MATCH(B161,Assessment!$A$5:$A$2000,0)),"Not found"))</f>
        <v/>
      </c>
      <c r="D161" s="10"/>
      <c r="E161" s="10"/>
      <c r="F161" s="10"/>
      <c r="G161" s="10"/>
      <c r="H161" s="10"/>
      <c r="I161" s="14"/>
      <c r="J161" s="10"/>
      <c r="K161" s="10"/>
      <c r="L161" s="10"/>
      <c r="M161" s="10"/>
      <c r="N161" s="10"/>
    </row>
    <row r="162" spans="1:14" x14ac:dyDescent="0.35">
      <c r="A162" s="10"/>
      <c r="B162" s="10"/>
      <c r="C162" s="43" t="str">
        <f>IF(B162="","",IFERROR(INDEX(Assessment!$E$5:$E$2000,MATCH(B162,Assessment!$A$5:$A$2000,0)),"Not found"))</f>
        <v/>
      </c>
      <c r="D162" s="10"/>
      <c r="E162" s="10"/>
      <c r="F162" s="10"/>
      <c r="G162" s="10"/>
      <c r="H162" s="10"/>
      <c r="I162" s="14"/>
      <c r="J162" s="10"/>
      <c r="K162" s="10"/>
      <c r="L162" s="10"/>
      <c r="M162" s="10"/>
      <c r="N162" s="10"/>
    </row>
    <row r="163" spans="1:14" x14ac:dyDescent="0.35">
      <c r="A163" s="10"/>
      <c r="B163" s="10"/>
      <c r="C163" s="43" t="str">
        <f>IF(B163="","",IFERROR(INDEX(Assessment!$E$5:$E$2000,MATCH(B163,Assessment!$A$5:$A$2000,0)),"Not found"))</f>
        <v/>
      </c>
      <c r="D163" s="10"/>
      <c r="E163" s="10"/>
      <c r="F163" s="10"/>
      <c r="G163" s="10"/>
      <c r="H163" s="10"/>
      <c r="I163" s="14"/>
      <c r="J163" s="10"/>
      <c r="K163" s="10"/>
      <c r="L163" s="10"/>
      <c r="M163" s="10"/>
      <c r="N163" s="10"/>
    </row>
    <row r="164" spans="1:14" x14ac:dyDescent="0.35">
      <c r="A164" s="10"/>
      <c r="B164" s="10"/>
      <c r="C164" s="43" t="str">
        <f>IF(B164="","",IFERROR(INDEX(Assessment!$E$5:$E$2000,MATCH(B164,Assessment!$A$5:$A$2000,0)),"Not found"))</f>
        <v/>
      </c>
      <c r="D164" s="10"/>
      <c r="E164" s="10"/>
      <c r="F164" s="10"/>
      <c r="G164" s="10"/>
      <c r="H164" s="10"/>
      <c r="I164" s="14"/>
      <c r="J164" s="10"/>
      <c r="K164" s="10"/>
      <c r="L164" s="10"/>
      <c r="M164" s="10"/>
      <c r="N164" s="10"/>
    </row>
    <row r="165" spans="1:14" x14ac:dyDescent="0.35">
      <c r="A165" s="10"/>
      <c r="B165" s="10"/>
      <c r="C165" s="43" t="str">
        <f>IF(B165="","",IFERROR(INDEX(Assessment!$E$5:$E$2000,MATCH(B165,Assessment!$A$5:$A$2000,0)),"Not found"))</f>
        <v/>
      </c>
      <c r="D165" s="10"/>
      <c r="E165" s="10"/>
      <c r="F165" s="10"/>
      <c r="G165" s="10"/>
      <c r="H165" s="10"/>
      <c r="I165" s="14"/>
      <c r="J165" s="10"/>
      <c r="K165" s="10"/>
      <c r="L165" s="10"/>
      <c r="M165" s="10"/>
      <c r="N165" s="10"/>
    </row>
    <row r="166" spans="1:14" x14ac:dyDescent="0.35">
      <c r="A166" s="10"/>
      <c r="B166" s="10"/>
      <c r="C166" s="43" t="str">
        <f>IF(B166="","",IFERROR(INDEX(Assessment!$E$5:$E$2000,MATCH(B166,Assessment!$A$5:$A$2000,0)),"Not found"))</f>
        <v/>
      </c>
      <c r="D166" s="10"/>
      <c r="E166" s="10"/>
      <c r="F166" s="10"/>
      <c r="G166" s="10"/>
      <c r="H166" s="10"/>
      <c r="I166" s="14"/>
      <c r="J166" s="10"/>
      <c r="K166" s="10"/>
      <c r="L166" s="10"/>
      <c r="M166" s="10"/>
      <c r="N166" s="10"/>
    </row>
    <row r="167" spans="1:14" x14ac:dyDescent="0.35">
      <c r="A167" s="10"/>
      <c r="B167" s="10"/>
      <c r="C167" s="43" t="str">
        <f>IF(B167="","",IFERROR(INDEX(Assessment!$E$5:$E$2000,MATCH(B167,Assessment!$A$5:$A$2000,0)),"Not found"))</f>
        <v/>
      </c>
      <c r="D167" s="10"/>
      <c r="E167" s="10"/>
      <c r="F167" s="10"/>
      <c r="G167" s="10"/>
      <c r="H167" s="10"/>
      <c r="I167" s="14"/>
      <c r="J167" s="10"/>
      <c r="K167" s="10"/>
      <c r="L167" s="10"/>
      <c r="M167" s="10"/>
      <c r="N167" s="10"/>
    </row>
    <row r="168" spans="1:14" x14ac:dyDescent="0.35">
      <c r="A168" s="10"/>
      <c r="B168" s="10"/>
      <c r="C168" s="43" t="str">
        <f>IF(B168="","",IFERROR(INDEX(Assessment!$E$5:$E$2000,MATCH(B168,Assessment!$A$5:$A$2000,0)),"Not found"))</f>
        <v/>
      </c>
      <c r="D168" s="10"/>
      <c r="E168" s="10"/>
      <c r="F168" s="10"/>
      <c r="G168" s="10"/>
      <c r="H168" s="10"/>
      <c r="I168" s="14"/>
      <c r="J168" s="10"/>
      <c r="K168" s="10"/>
      <c r="L168" s="10"/>
      <c r="M168" s="10"/>
      <c r="N168" s="10"/>
    </row>
    <row r="169" spans="1:14" x14ac:dyDescent="0.35">
      <c r="A169" s="10"/>
      <c r="B169" s="10"/>
      <c r="C169" s="43" t="str">
        <f>IF(B169="","",IFERROR(INDEX(Assessment!$E$5:$E$2000,MATCH(B169,Assessment!$A$5:$A$2000,0)),"Not found"))</f>
        <v/>
      </c>
      <c r="D169" s="10"/>
      <c r="E169" s="10"/>
      <c r="F169" s="10"/>
      <c r="G169" s="10"/>
      <c r="H169" s="10"/>
      <c r="I169" s="14"/>
      <c r="J169" s="10"/>
      <c r="K169" s="10"/>
      <c r="L169" s="10"/>
      <c r="M169" s="10"/>
      <c r="N169" s="10"/>
    </row>
    <row r="170" spans="1:14" x14ac:dyDescent="0.35">
      <c r="A170" s="10"/>
      <c r="B170" s="10"/>
      <c r="C170" s="43" t="str">
        <f>IF(B170="","",IFERROR(INDEX(Assessment!$E$5:$E$2000,MATCH(B170,Assessment!$A$5:$A$2000,0)),"Not found"))</f>
        <v/>
      </c>
      <c r="D170" s="10"/>
      <c r="E170" s="10"/>
      <c r="F170" s="10"/>
      <c r="G170" s="10"/>
      <c r="H170" s="10"/>
      <c r="I170" s="14"/>
      <c r="J170" s="10"/>
      <c r="K170" s="10"/>
      <c r="L170" s="10"/>
      <c r="M170" s="10"/>
      <c r="N170" s="10"/>
    </row>
    <row r="171" spans="1:14" x14ac:dyDescent="0.35">
      <c r="A171" s="10"/>
      <c r="B171" s="10"/>
      <c r="C171" s="43" t="str">
        <f>IF(B171="","",IFERROR(INDEX(Assessment!$E$5:$E$2000,MATCH(B171,Assessment!$A$5:$A$2000,0)),"Not found"))</f>
        <v/>
      </c>
      <c r="D171" s="10"/>
      <c r="E171" s="10"/>
      <c r="F171" s="10"/>
      <c r="G171" s="10"/>
      <c r="H171" s="10"/>
      <c r="I171" s="14"/>
      <c r="J171" s="10"/>
      <c r="K171" s="10"/>
      <c r="L171" s="10"/>
      <c r="M171" s="10"/>
      <c r="N171" s="10"/>
    </row>
    <row r="172" spans="1:14" x14ac:dyDescent="0.35">
      <c r="A172" s="10"/>
      <c r="B172" s="10"/>
      <c r="C172" s="43" t="str">
        <f>IF(B172="","",IFERROR(INDEX(Assessment!$E$5:$E$2000,MATCH(B172,Assessment!$A$5:$A$2000,0)),"Not found"))</f>
        <v/>
      </c>
      <c r="D172" s="10"/>
      <c r="E172" s="10"/>
      <c r="F172" s="10"/>
      <c r="G172" s="10"/>
      <c r="H172" s="10"/>
      <c r="I172" s="14"/>
      <c r="J172" s="10"/>
      <c r="K172" s="10"/>
      <c r="L172" s="10"/>
      <c r="M172" s="10"/>
      <c r="N172" s="10"/>
    </row>
    <row r="173" spans="1:14" x14ac:dyDescent="0.35">
      <c r="A173" s="10"/>
      <c r="B173" s="10"/>
      <c r="C173" s="43" t="str">
        <f>IF(B173="","",IFERROR(INDEX(Assessment!$E$5:$E$2000,MATCH(B173,Assessment!$A$5:$A$2000,0)),"Not found"))</f>
        <v/>
      </c>
      <c r="D173" s="10"/>
      <c r="E173" s="10"/>
      <c r="F173" s="10"/>
      <c r="G173" s="10"/>
      <c r="H173" s="10"/>
      <c r="I173" s="14"/>
      <c r="J173" s="10"/>
      <c r="K173" s="10"/>
      <c r="L173" s="10"/>
      <c r="M173" s="10"/>
      <c r="N173" s="10"/>
    </row>
    <row r="174" spans="1:14" x14ac:dyDescent="0.35">
      <c r="A174" s="10"/>
      <c r="B174" s="10"/>
      <c r="C174" s="43" t="str">
        <f>IF(B174="","",IFERROR(INDEX(Assessment!$E$5:$E$2000,MATCH(B174,Assessment!$A$5:$A$2000,0)),"Not found"))</f>
        <v/>
      </c>
      <c r="D174" s="10"/>
      <c r="E174" s="10"/>
      <c r="F174" s="10"/>
      <c r="G174" s="10"/>
      <c r="H174" s="10"/>
      <c r="I174" s="14"/>
      <c r="J174" s="10"/>
      <c r="K174" s="10"/>
      <c r="L174" s="10"/>
      <c r="M174" s="10"/>
      <c r="N174" s="10"/>
    </row>
    <row r="175" spans="1:14" x14ac:dyDescent="0.35">
      <c r="A175" s="10"/>
      <c r="B175" s="10"/>
      <c r="C175" s="43" t="str">
        <f>IF(B175="","",IFERROR(INDEX(Assessment!$E$5:$E$2000,MATCH(B175,Assessment!$A$5:$A$2000,0)),"Not found"))</f>
        <v/>
      </c>
      <c r="D175" s="10"/>
      <c r="E175" s="10"/>
      <c r="F175" s="10"/>
      <c r="G175" s="10"/>
      <c r="H175" s="10"/>
      <c r="I175" s="14"/>
      <c r="J175" s="10"/>
      <c r="K175" s="10"/>
      <c r="L175" s="10"/>
      <c r="M175" s="10"/>
      <c r="N175" s="10"/>
    </row>
    <row r="176" spans="1:14" x14ac:dyDescent="0.35">
      <c r="A176" s="10"/>
      <c r="B176" s="10"/>
      <c r="C176" s="43" t="str">
        <f>IF(B176="","",IFERROR(INDEX(Assessment!$E$5:$E$2000,MATCH(B176,Assessment!$A$5:$A$2000,0)),"Not found"))</f>
        <v/>
      </c>
      <c r="D176" s="10"/>
      <c r="E176" s="10"/>
      <c r="F176" s="10"/>
      <c r="G176" s="10"/>
      <c r="H176" s="10"/>
      <c r="I176" s="14"/>
      <c r="J176" s="10"/>
      <c r="K176" s="10"/>
      <c r="L176" s="10"/>
      <c r="M176" s="10"/>
      <c r="N176" s="10"/>
    </row>
    <row r="177" spans="1:14" x14ac:dyDescent="0.35">
      <c r="A177" s="10"/>
      <c r="B177" s="10"/>
      <c r="C177" s="43" t="str">
        <f>IF(B177="","",IFERROR(INDEX(Assessment!$E$5:$E$2000,MATCH(B177,Assessment!$A$5:$A$2000,0)),"Not found"))</f>
        <v/>
      </c>
      <c r="D177" s="10"/>
      <c r="E177" s="10"/>
      <c r="F177" s="10"/>
      <c r="G177" s="10"/>
      <c r="H177" s="10"/>
      <c r="I177" s="14"/>
      <c r="J177" s="10"/>
      <c r="K177" s="10"/>
      <c r="L177" s="10"/>
      <c r="M177" s="10"/>
      <c r="N177" s="10"/>
    </row>
    <row r="178" spans="1:14" x14ac:dyDescent="0.35">
      <c r="A178" s="10"/>
      <c r="B178" s="10"/>
      <c r="C178" s="43" t="str">
        <f>IF(B178="","",IFERROR(INDEX(Assessment!$E$5:$E$2000,MATCH(B178,Assessment!$A$5:$A$2000,0)),"Not found"))</f>
        <v/>
      </c>
      <c r="D178" s="10"/>
      <c r="E178" s="10"/>
      <c r="F178" s="10"/>
      <c r="G178" s="10"/>
      <c r="H178" s="10"/>
      <c r="I178" s="14"/>
      <c r="J178" s="10"/>
      <c r="K178" s="10"/>
      <c r="L178" s="10"/>
      <c r="M178" s="10"/>
      <c r="N178" s="10"/>
    </row>
    <row r="179" spans="1:14" x14ac:dyDescent="0.35">
      <c r="A179" s="10"/>
      <c r="B179" s="10"/>
      <c r="C179" s="43" t="str">
        <f>IF(B179="","",IFERROR(INDEX(Assessment!$E$5:$E$2000,MATCH(B179,Assessment!$A$5:$A$2000,0)),"Not found"))</f>
        <v/>
      </c>
      <c r="D179" s="10"/>
      <c r="E179" s="10"/>
      <c r="F179" s="10"/>
      <c r="G179" s="10"/>
      <c r="H179" s="10"/>
      <c r="I179" s="14"/>
      <c r="J179" s="10"/>
      <c r="K179" s="10"/>
      <c r="L179" s="10"/>
      <c r="M179" s="10"/>
      <c r="N179" s="10"/>
    </row>
    <row r="180" spans="1:14" x14ac:dyDescent="0.35">
      <c r="A180" s="10"/>
      <c r="B180" s="10"/>
      <c r="C180" s="43" t="str">
        <f>IF(B180="","",IFERROR(INDEX(Assessment!$E$5:$E$2000,MATCH(B180,Assessment!$A$5:$A$2000,0)),"Not found"))</f>
        <v/>
      </c>
      <c r="D180" s="10"/>
      <c r="E180" s="10"/>
      <c r="F180" s="10"/>
      <c r="G180" s="10"/>
      <c r="H180" s="10"/>
      <c r="I180" s="14"/>
      <c r="J180" s="10"/>
      <c r="K180" s="10"/>
      <c r="L180" s="10"/>
      <c r="M180" s="10"/>
      <c r="N180" s="10"/>
    </row>
    <row r="181" spans="1:14" x14ac:dyDescent="0.35">
      <c r="A181" s="10"/>
      <c r="B181" s="10"/>
      <c r="C181" s="43" t="str">
        <f>IF(B181="","",IFERROR(INDEX(Assessment!$E$5:$E$2000,MATCH(B181,Assessment!$A$5:$A$2000,0)),"Not found"))</f>
        <v/>
      </c>
      <c r="D181" s="10"/>
      <c r="E181" s="10"/>
      <c r="F181" s="10"/>
      <c r="G181" s="10"/>
      <c r="H181" s="10"/>
      <c r="I181" s="14"/>
      <c r="J181" s="10"/>
      <c r="K181" s="10"/>
      <c r="L181" s="10"/>
      <c r="M181" s="10"/>
      <c r="N181" s="10"/>
    </row>
    <row r="182" spans="1:14" x14ac:dyDescent="0.35">
      <c r="A182" s="10"/>
      <c r="B182" s="10"/>
      <c r="C182" s="43" t="str">
        <f>IF(B182="","",IFERROR(INDEX(Assessment!$E$5:$E$2000,MATCH(B182,Assessment!$A$5:$A$2000,0)),"Not found"))</f>
        <v/>
      </c>
      <c r="D182" s="10"/>
      <c r="E182" s="10"/>
      <c r="F182" s="10"/>
      <c r="G182" s="10"/>
      <c r="H182" s="10"/>
      <c r="I182" s="14"/>
      <c r="J182" s="10"/>
      <c r="K182" s="10"/>
      <c r="L182" s="10"/>
      <c r="M182" s="10"/>
      <c r="N182" s="10"/>
    </row>
    <row r="183" spans="1:14" x14ac:dyDescent="0.35">
      <c r="A183" s="10"/>
      <c r="B183" s="10"/>
      <c r="C183" s="43" t="str">
        <f>IF(B183="","",IFERROR(INDEX(Assessment!$E$5:$E$2000,MATCH(B183,Assessment!$A$5:$A$2000,0)),"Not found"))</f>
        <v/>
      </c>
      <c r="D183" s="10"/>
      <c r="E183" s="10"/>
      <c r="F183" s="10"/>
      <c r="G183" s="10"/>
      <c r="H183" s="10"/>
      <c r="I183" s="14"/>
      <c r="J183" s="10"/>
      <c r="K183" s="10"/>
      <c r="L183" s="10"/>
      <c r="M183" s="10"/>
      <c r="N183" s="10"/>
    </row>
    <row r="184" spans="1:14" x14ac:dyDescent="0.35">
      <c r="A184" s="10"/>
      <c r="B184" s="10"/>
      <c r="C184" s="43" t="str">
        <f>IF(B184="","",IFERROR(INDEX(Assessment!$E$5:$E$2000,MATCH(B184,Assessment!$A$5:$A$2000,0)),"Not found"))</f>
        <v/>
      </c>
      <c r="D184" s="10"/>
      <c r="E184" s="10"/>
      <c r="F184" s="10"/>
      <c r="G184" s="10"/>
      <c r="H184" s="10"/>
      <c r="I184" s="14"/>
      <c r="J184" s="10"/>
      <c r="K184" s="10"/>
      <c r="L184" s="10"/>
      <c r="M184" s="10"/>
      <c r="N184" s="10"/>
    </row>
    <row r="185" spans="1:14" x14ac:dyDescent="0.35">
      <c r="A185" s="10"/>
      <c r="B185" s="10"/>
      <c r="C185" s="43" t="str">
        <f>IF(B185="","",IFERROR(INDEX(Assessment!$E$5:$E$2000,MATCH(B185,Assessment!$A$5:$A$2000,0)),"Not found"))</f>
        <v/>
      </c>
      <c r="D185" s="10"/>
      <c r="E185" s="10"/>
      <c r="F185" s="10"/>
      <c r="G185" s="10"/>
      <c r="H185" s="10"/>
      <c r="I185" s="14"/>
      <c r="J185" s="10"/>
      <c r="K185" s="10"/>
      <c r="L185" s="10"/>
      <c r="M185" s="10"/>
      <c r="N185" s="10"/>
    </row>
    <row r="186" spans="1:14" x14ac:dyDescent="0.35">
      <c r="A186" s="10"/>
      <c r="B186" s="10"/>
      <c r="C186" s="43" t="str">
        <f>IF(B186="","",IFERROR(INDEX(Assessment!$E$5:$E$2000,MATCH(B186,Assessment!$A$5:$A$2000,0)),"Not found"))</f>
        <v/>
      </c>
      <c r="D186" s="10"/>
      <c r="E186" s="10"/>
      <c r="F186" s="10"/>
      <c r="G186" s="10"/>
      <c r="H186" s="10"/>
      <c r="I186" s="14"/>
      <c r="J186" s="10"/>
      <c r="K186" s="10"/>
      <c r="L186" s="10"/>
      <c r="M186" s="10"/>
      <c r="N186" s="10"/>
    </row>
    <row r="187" spans="1:14" x14ac:dyDescent="0.35">
      <c r="A187" s="10"/>
      <c r="B187" s="10"/>
      <c r="C187" s="43" t="str">
        <f>IF(B187="","",IFERROR(INDEX(Assessment!$E$5:$E$2000,MATCH(B187,Assessment!$A$5:$A$2000,0)),"Not found"))</f>
        <v/>
      </c>
      <c r="D187" s="10"/>
      <c r="E187" s="10"/>
      <c r="F187" s="10"/>
      <c r="G187" s="10"/>
      <c r="H187" s="10"/>
      <c r="I187" s="14"/>
      <c r="J187" s="10"/>
      <c r="K187" s="10"/>
      <c r="L187" s="10"/>
      <c r="M187" s="10"/>
      <c r="N187" s="10"/>
    </row>
    <row r="188" spans="1:14" x14ac:dyDescent="0.35">
      <c r="A188" s="10"/>
      <c r="B188" s="10"/>
      <c r="C188" s="43" t="str">
        <f>IF(B188="","",IFERROR(INDEX(Assessment!$E$5:$E$2000,MATCH(B188,Assessment!$A$5:$A$2000,0)),"Not found"))</f>
        <v/>
      </c>
      <c r="D188" s="10"/>
      <c r="E188" s="10"/>
      <c r="F188" s="10"/>
      <c r="G188" s="10"/>
      <c r="H188" s="10"/>
      <c r="I188" s="14"/>
      <c r="J188" s="10"/>
      <c r="K188" s="10"/>
      <c r="L188" s="10"/>
      <c r="M188" s="10"/>
      <c r="N188" s="10"/>
    </row>
    <row r="189" spans="1:14" x14ac:dyDescent="0.35">
      <c r="A189" s="10"/>
      <c r="B189" s="10"/>
      <c r="C189" s="43" t="str">
        <f>IF(B189="","",IFERROR(INDEX(Assessment!$E$5:$E$2000,MATCH(B189,Assessment!$A$5:$A$2000,0)),"Not found"))</f>
        <v/>
      </c>
      <c r="D189" s="10"/>
      <c r="E189" s="10"/>
      <c r="F189" s="10"/>
      <c r="G189" s="10"/>
      <c r="H189" s="10"/>
      <c r="I189" s="14"/>
      <c r="J189" s="10"/>
      <c r="K189" s="10"/>
      <c r="L189" s="10"/>
      <c r="M189" s="10"/>
      <c r="N189" s="10"/>
    </row>
    <row r="190" spans="1:14" x14ac:dyDescent="0.35">
      <c r="A190" s="10"/>
      <c r="B190" s="10"/>
      <c r="C190" s="43" t="str">
        <f>IF(B190="","",IFERROR(INDEX(Assessment!$E$5:$E$2000,MATCH(B190,Assessment!$A$5:$A$2000,0)),"Not found"))</f>
        <v/>
      </c>
      <c r="D190" s="10"/>
      <c r="E190" s="10"/>
      <c r="F190" s="10"/>
      <c r="G190" s="10"/>
      <c r="H190" s="10"/>
      <c r="I190" s="14"/>
      <c r="J190" s="10"/>
      <c r="K190" s="10"/>
      <c r="L190" s="10"/>
      <c r="M190" s="10"/>
      <c r="N190" s="10"/>
    </row>
    <row r="191" spans="1:14" x14ac:dyDescent="0.35">
      <c r="A191" s="10"/>
      <c r="B191" s="10"/>
      <c r="C191" s="43" t="str">
        <f>IF(B191="","",IFERROR(INDEX(Assessment!$E$5:$E$2000,MATCH(B191,Assessment!$A$5:$A$2000,0)),"Not found"))</f>
        <v/>
      </c>
      <c r="D191" s="10"/>
      <c r="E191" s="10"/>
      <c r="F191" s="10"/>
      <c r="G191" s="10"/>
      <c r="H191" s="10"/>
      <c r="I191" s="14"/>
      <c r="J191" s="10"/>
      <c r="K191" s="10"/>
      <c r="L191" s="10"/>
      <c r="M191" s="10"/>
      <c r="N191" s="10"/>
    </row>
    <row r="192" spans="1:14" x14ac:dyDescent="0.35">
      <c r="A192" s="10"/>
      <c r="B192" s="10"/>
      <c r="C192" s="43" t="str">
        <f>IF(B192="","",IFERROR(INDEX(Assessment!$E$5:$E$2000,MATCH(B192,Assessment!$A$5:$A$2000,0)),"Not found"))</f>
        <v/>
      </c>
      <c r="D192" s="10"/>
      <c r="E192" s="10"/>
      <c r="F192" s="10"/>
      <c r="G192" s="10"/>
      <c r="H192" s="10"/>
      <c r="I192" s="14"/>
      <c r="J192" s="10"/>
      <c r="K192" s="10"/>
      <c r="L192" s="10"/>
      <c r="M192" s="10"/>
      <c r="N192" s="10"/>
    </row>
    <row r="193" spans="1:14" x14ac:dyDescent="0.35">
      <c r="A193" s="10"/>
      <c r="B193" s="10"/>
      <c r="C193" s="43" t="str">
        <f>IF(B193="","",IFERROR(INDEX(Assessment!$E$5:$E$2000,MATCH(B193,Assessment!$A$5:$A$2000,0)),"Not found"))</f>
        <v/>
      </c>
      <c r="D193" s="10"/>
      <c r="E193" s="10"/>
      <c r="F193" s="10"/>
      <c r="G193" s="10"/>
      <c r="H193" s="10"/>
      <c r="I193" s="14"/>
      <c r="J193" s="10"/>
      <c r="K193" s="10"/>
      <c r="L193" s="10"/>
      <c r="M193" s="10"/>
      <c r="N193" s="10"/>
    </row>
    <row r="194" spans="1:14" x14ac:dyDescent="0.35">
      <c r="A194" s="10"/>
      <c r="B194" s="10"/>
      <c r="C194" s="43" t="str">
        <f>IF(B194="","",IFERROR(INDEX(Assessment!$E$5:$E$2000,MATCH(B194,Assessment!$A$5:$A$2000,0)),"Not found"))</f>
        <v/>
      </c>
      <c r="D194" s="10"/>
      <c r="E194" s="10"/>
      <c r="F194" s="10"/>
      <c r="G194" s="10"/>
      <c r="H194" s="10"/>
      <c r="I194" s="14"/>
      <c r="J194" s="10"/>
      <c r="K194" s="10"/>
      <c r="L194" s="10"/>
      <c r="M194" s="10"/>
      <c r="N194" s="10"/>
    </row>
    <row r="195" spans="1:14" x14ac:dyDescent="0.35">
      <c r="A195" s="10"/>
      <c r="B195" s="10"/>
      <c r="C195" s="43" t="str">
        <f>IF(B195="","",IFERROR(INDEX(Assessment!$E$5:$E$2000,MATCH(B195,Assessment!$A$5:$A$2000,0)),"Not found"))</f>
        <v/>
      </c>
      <c r="D195" s="10"/>
      <c r="E195" s="10"/>
      <c r="F195" s="10"/>
      <c r="G195" s="10"/>
      <c r="H195" s="10"/>
      <c r="I195" s="14"/>
      <c r="J195" s="10"/>
      <c r="K195" s="10"/>
      <c r="L195" s="10"/>
      <c r="M195" s="10"/>
      <c r="N195" s="10"/>
    </row>
    <row r="196" spans="1:14" x14ac:dyDescent="0.35">
      <c r="A196" s="10"/>
      <c r="B196" s="10"/>
      <c r="C196" s="43" t="str">
        <f>IF(B196="","",IFERROR(INDEX(Assessment!$E$5:$E$2000,MATCH(B196,Assessment!$A$5:$A$2000,0)),"Not found"))</f>
        <v/>
      </c>
      <c r="D196" s="10"/>
      <c r="E196" s="10"/>
      <c r="F196" s="10"/>
      <c r="G196" s="10"/>
      <c r="H196" s="10"/>
      <c r="I196" s="14"/>
      <c r="J196" s="10"/>
      <c r="K196" s="10"/>
      <c r="L196" s="10"/>
      <c r="M196" s="10"/>
      <c r="N196" s="10"/>
    </row>
    <row r="197" spans="1:14" x14ac:dyDescent="0.35">
      <c r="A197" s="10"/>
      <c r="B197" s="10"/>
      <c r="C197" s="43" t="str">
        <f>IF(B197="","",IFERROR(INDEX(Assessment!$E$5:$E$2000,MATCH(B197,Assessment!$A$5:$A$2000,0)),"Not found"))</f>
        <v/>
      </c>
      <c r="D197" s="10"/>
      <c r="E197" s="10"/>
      <c r="F197" s="10"/>
      <c r="G197" s="10"/>
      <c r="H197" s="10"/>
      <c r="I197" s="14"/>
      <c r="J197" s="10"/>
      <c r="K197" s="10"/>
      <c r="L197" s="10"/>
      <c r="M197" s="10"/>
      <c r="N197" s="10"/>
    </row>
    <row r="198" spans="1:14" x14ac:dyDescent="0.35">
      <c r="A198" s="10"/>
      <c r="B198" s="10"/>
      <c r="C198" s="43" t="str">
        <f>IF(B198="","",IFERROR(INDEX(Assessment!$E$5:$E$2000,MATCH(B198,Assessment!$A$5:$A$2000,0)),"Not found"))</f>
        <v/>
      </c>
      <c r="D198" s="10"/>
      <c r="E198" s="10"/>
      <c r="F198" s="10"/>
      <c r="G198" s="10"/>
      <c r="H198" s="10"/>
      <c r="I198" s="14"/>
      <c r="J198" s="10"/>
      <c r="K198" s="10"/>
      <c r="L198" s="10"/>
      <c r="M198" s="10"/>
      <c r="N198" s="10"/>
    </row>
    <row r="199" spans="1:14" x14ac:dyDescent="0.35">
      <c r="A199" s="10"/>
      <c r="B199" s="10"/>
      <c r="C199" s="43" t="str">
        <f>IF(B199="","",IFERROR(INDEX(Assessment!$E$5:$E$2000,MATCH(B199,Assessment!$A$5:$A$2000,0)),"Not found"))</f>
        <v/>
      </c>
      <c r="D199" s="10"/>
      <c r="E199" s="10"/>
      <c r="F199" s="10"/>
      <c r="G199" s="10"/>
      <c r="H199" s="10"/>
      <c r="I199" s="14"/>
      <c r="J199" s="10"/>
      <c r="K199" s="10"/>
      <c r="L199" s="10"/>
      <c r="M199" s="10"/>
      <c r="N199" s="10"/>
    </row>
    <row r="200" spans="1:14" x14ac:dyDescent="0.35">
      <c r="A200" s="10"/>
      <c r="B200" s="10"/>
      <c r="C200" s="43" t="str">
        <f>IF(B200="","",IFERROR(INDEX(Assessment!$E$5:$E$2000,MATCH(B200,Assessment!$A$5:$A$2000,0)),"Not found"))</f>
        <v/>
      </c>
      <c r="D200" s="10"/>
      <c r="E200" s="10"/>
      <c r="F200" s="10"/>
      <c r="G200" s="10"/>
      <c r="H200" s="10"/>
      <c r="I200" s="14"/>
      <c r="J200" s="10"/>
      <c r="K200" s="10"/>
      <c r="L200" s="10"/>
      <c r="M200" s="10"/>
      <c r="N200" s="10"/>
    </row>
    <row r="201" spans="1:14" x14ac:dyDescent="0.35">
      <c r="A201" s="10"/>
      <c r="B201" s="10"/>
      <c r="C201" s="43" t="str">
        <f>IF(B201="","",IFERROR(INDEX(Assessment!$E$5:$E$2000,MATCH(B201,Assessment!$A$5:$A$2000,0)),"Not found"))</f>
        <v/>
      </c>
      <c r="D201" s="10"/>
      <c r="E201" s="10"/>
      <c r="F201" s="10"/>
      <c r="G201" s="10"/>
      <c r="H201" s="10"/>
      <c r="I201" s="14"/>
      <c r="J201" s="10"/>
      <c r="K201" s="10"/>
      <c r="L201" s="10"/>
      <c r="M201" s="10"/>
      <c r="N201" s="10"/>
    </row>
    <row r="202" spans="1:14" x14ac:dyDescent="0.35">
      <c r="A202" s="10"/>
      <c r="B202" s="10"/>
      <c r="C202" s="43" t="str">
        <f>IF(B202="","",IFERROR(INDEX(Assessment!$E$5:$E$2000,MATCH(B202,Assessment!$A$5:$A$2000,0)),"Not found"))</f>
        <v/>
      </c>
      <c r="D202" s="10"/>
      <c r="E202" s="10"/>
      <c r="F202" s="10"/>
      <c r="G202" s="10"/>
      <c r="H202" s="10"/>
      <c r="I202" s="14"/>
      <c r="J202" s="10"/>
      <c r="K202" s="10"/>
      <c r="L202" s="10"/>
      <c r="M202" s="10"/>
      <c r="N202" s="10"/>
    </row>
    <row r="203" spans="1:14" x14ac:dyDescent="0.35">
      <c r="A203" s="10"/>
      <c r="B203" s="10"/>
      <c r="C203" s="43" t="str">
        <f>IF(B203="","",IFERROR(INDEX(Assessment!$E$5:$E$2000,MATCH(B203,Assessment!$A$5:$A$2000,0)),"Not found"))</f>
        <v/>
      </c>
      <c r="D203" s="10"/>
      <c r="E203" s="10"/>
      <c r="F203" s="10"/>
      <c r="G203" s="10"/>
      <c r="H203" s="10"/>
      <c r="I203" s="14"/>
      <c r="J203" s="10"/>
      <c r="K203" s="10"/>
      <c r="L203" s="10"/>
      <c r="M203" s="10"/>
      <c r="N203" s="10"/>
    </row>
    <row r="204" spans="1:14" x14ac:dyDescent="0.35">
      <c r="A204" s="10"/>
      <c r="B204" s="10"/>
      <c r="C204" s="43" t="str">
        <f>IF(B204="","",IFERROR(INDEX(Assessment!$E$5:$E$2000,MATCH(B204,Assessment!$A$5:$A$2000,0)),"Not found"))</f>
        <v/>
      </c>
      <c r="D204" s="10"/>
      <c r="E204" s="10"/>
      <c r="F204" s="10"/>
      <c r="G204" s="10"/>
      <c r="H204" s="10"/>
      <c r="I204" s="14"/>
      <c r="J204" s="10"/>
      <c r="K204" s="10"/>
      <c r="L204" s="10"/>
      <c r="M204" s="10"/>
      <c r="N204" s="10"/>
    </row>
    <row r="205" spans="1:14" x14ac:dyDescent="0.35">
      <c r="A205" s="10"/>
      <c r="B205" s="10"/>
      <c r="C205" s="43" t="str">
        <f>IF(B205="","",IFERROR(INDEX(Assessment!$E$5:$E$2000,MATCH(B205,Assessment!$A$5:$A$2000,0)),"Not found"))</f>
        <v/>
      </c>
      <c r="D205" s="10"/>
      <c r="E205" s="10"/>
      <c r="F205" s="10"/>
      <c r="G205" s="10"/>
      <c r="H205" s="10"/>
      <c r="I205" s="14"/>
      <c r="J205" s="10"/>
      <c r="K205" s="10"/>
      <c r="L205" s="10"/>
      <c r="M205" s="10"/>
      <c r="N205" s="10"/>
    </row>
  </sheetData>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5">
        <x14:dataValidation type="list" allowBlank="1" showErrorMessage="1" error="Choose a value from the list" xr:uid="{00000000-0002-0000-0500-000000000000}">
          <x14:formula1>
            <xm:f>Assessment!$A$5:$A$2000</xm:f>
          </x14:formula1>
          <x14:formula2>
            <xm:f>0</xm:f>
          </x14:formula2>
          <xm:sqref>B6:B205</xm:sqref>
        </x14:dataValidation>
        <x14:dataValidation type="list" allowBlank="1" showErrorMessage="1" error="Choose a value from the list" xr:uid="{00000000-0002-0000-0500-000001000000}">
          <x14:formula1>
            <xm:f>Lists!$F$4:$F$19</xm:f>
          </x14:formula1>
          <x14:formula2>
            <xm:f>0</xm:f>
          </x14:formula2>
          <xm:sqref>D6:D205</xm:sqref>
        </x14:dataValidation>
        <x14:dataValidation type="list" allowBlank="1" showErrorMessage="1" error="Choose a value from the list" xr:uid="{00000000-0002-0000-0500-000002000000}">
          <x14:formula1>
            <xm:f>Lists!$H$4:$H$6</xm:f>
          </x14:formula1>
          <x14:formula2>
            <xm:f>0</xm:f>
          </x14:formula2>
          <xm:sqref>G6:G205</xm:sqref>
        </x14:dataValidation>
        <x14:dataValidation type="list" allowBlank="1" showErrorMessage="1" error="Choose a value from the list" xr:uid="{00000000-0002-0000-0500-000003000000}">
          <x14:formula1>
            <xm:f>Lists!$G$4:$G$7</xm:f>
          </x14:formula1>
          <x14:formula2>
            <xm:f>0</xm:f>
          </x14:formula2>
          <xm:sqref>M6:M205</xm:sqref>
        </x14:dataValidation>
        <x14:dataValidation type="list" allowBlank="1" showErrorMessage="1" error="Choose a value from the list" xr:uid="{00000000-0002-0000-0500-000004000000}">
          <x14:formula1>
            <xm:f>Lists!$K$4:$K$7</xm:f>
          </x14:formula1>
          <x14:formula2>
            <xm:f>0</xm:f>
          </x14:formula2>
          <xm:sqref>N6:N205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N20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x14ac:dyDescent="0.35"/>
  <cols>
    <col min="1" max="1" width="11" customWidth="1"/>
    <col min="2" max="2" width="14" customWidth="1"/>
    <col min="3" max="3" width="32" customWidth="1"/>
    <col min="4" max="4" width="20" customWidth="1"/>
    <col min="5" max="5" width="50" customWidth="1"/>
    <col min="6" max="6" width="12" customWidth="1"/>
    <col min="7" max="7" width="14" customWidth="1"/>
    <col min="8" max="8" width="46" customWidth="1"/>
    <col min="9" max="9" width="16" customWidth="1"/>
    <col min="10" max="10" width="12" customWidth="1"/>
    <col min="11" max="11" width="14" customWidth="1"/>
    <col min="12" max="12" width="12" customWidth="1"/>
    <col min="13" max="13" width="10" customWidth="1"/>
    <col min="14" max="14" width="11" customWidth="1"/>
  </cols>
  <sheetData>
    <row r="1" spans="1:14" ht="20" x14ac:dyDescent="0.4">
      <c r="A1" s="8" t="s">
        <v>905</v>
      </c>
    </row>
    <row r="2" spans="1:14" x14ac:dyDescent="0.35">
      <c r="A2" s="6" t="s">
        <v>906</v>
      </c>
    </row>
    <row r="4" spans="1:14" ht="31.5" customHeight="1" x14ac:dyDescent="0.35">
      <c r="A4" s="11" t="s">
        <v>907</v>
      </c>
      <c r="B4" s="11" t="s">
        <v>134</v>
      </c>
      <c r="C4" s="11" t="s">
        <v>164</v>
      </c>
      <c r="D4" s="11" t="s">
        <v>61</v>
      </c>
      <c r="E4" s="11" t="s">
        <v>908</v>
      </c>
      <c r="F4" s="11" t="s">
        <v>139</v>
      </c>
      <c r="G4" s="11" t="s">
        <v>173</v>
      </c>
      <c r="H4" s="11" t="s">
        <v>909</v>
      </c>
      <c r="I4" s="11" t="s">
        <v>910</v>
      </c>
      <c r="J4" s="11" t="s">
        <v>911</v>
      </c>
      <c r="K4" s="11" t="s">
        <v>94</v>
      </c>
      <c r="L4" s="11" t="s">
        <v>912</v>
      </c>
      <c r="M4" s="11" t="s">
        <v>913</v>
      </c>
      <c r="N4" s="11" t="s">
        <v>914</v>
      </c>
    </row>
    <row r="5" spans="1:14" ht="26" x14ac:dyDescent="0.35">
      <c r="A5" s="22" t="s">
        <v>895</v>
      </c>
      <c r="B5" s="22" t="s">
        <v>237</v>
      </c>
      <c r="C5" s="22"/>
      <c r="D5" s="22"/>
      <c r="E5" s="22" t="s">
        <v>915</v>
      </c>
      <c r="F5" s="22" t="s">
        <v>129</v>
      </c>
      <c r="G5" s="22" t="s">
        <v>916</v>
      </c>
      <c r="H5" s="22" t="s">
        <v>917</v>
      </c>
      <c r="I5" s="22" t="s">
        <v>918</v>
      </c>
      <c r="J5" s="42">
        <v>46371</v>
      </c>
      <c r="K5" s="22" t="s">
        <v>919</v>
      </c>
      <c r="L5" s="42">
        <v>46297</v>
      </c>
      <c r="M5" s="22"/>
      <c r="N5" s="22"/>
    </row>
    <row r="6" spans="1:14" x14ac:dyDescent="0.35">
      <c r="A6" s="10"/>
      <c r="B6" s="10"/>
      <c r="C6" s="43" t="str">
        <f>IF(B6="","",IFERROR(INDEX(Assessment!$E$5:$E$2000,MATCH(B6,Assessment!$A$5:$A$2000,0)),"Not found"))</f>
        <v/>
      </c>
      <c r="D6" s="43" t="str">
        <f>IF(B6="","",IFERROR(INDEX(Assessment!$B$5:$B$2000,MATCH(B6,Assessment!$A$5:$A$2000,0)),"Not found"))</f>
        <v/>
      </c>
      <c r="E6" s="10"/>
      <c r="F6" s="10"/>
      <c r="G6" s="10"/>
      <c r="H6" s="10"/>
      <c r="I6" s="10"/>
      <c r="J6" s="14"/>
      <c r="K6" s="10"/>
      <c r="L6" s="14"/>
      <c r="M6" s="44" t="str">
        <f t="shared" ref="M6:M37" ca="1" si="0">IF(OR(L6="",K6="Closed",K6="Risk Accepted"),"",TODAY()-L6)</f>
        <v/>
      </c>
      <c r="N6" s="44" t="str">
        <f t="shared" ref="N6:N37" ca="1" si="1">IF(OR(J6="",K6="Closed",K6="Risk Accepted",K6="Remediated"),"",IF(TODAY()&gt;J6,"Overdue",""))</f>
        <v/>
      </c>
    </row>
    <row r="7" spans="1:14" x14ac:dyDescent="0.35">
      <c r="A7" s="10"/>
      <c r="B7" s="10"/>
      <c r="C7" s="43" t="str">
        <f>IF(B7="","",IFERROR(INDEX(Assessment!$E$5:$E$2000,MATCH(B7,Assessment!$A$5:$A$2000,0)),"Not found"))</f>
        <v/>
      </c>
      <c r="D7" s="43" t="str">
        <f>IF(B7="","",IFERROR(INDEX(Assessment!$B$5:$B$2000,MATCH(B7,Assessment!$A$5:$A$2000,0)),"Not found"))</f>
        <v/>
      </c>
      <c r="E7" s="10"/>
      <c r="F7" s="10"/>
      <c r="G7" s="10"/>
      <c r="H7" s="10"/>
      <c r="I7" s="10"/>
      <c r="J7" s="14"/>
      <c r="K7" s="10"/>
      <c r="L7" s="14"/>
      <c r="M7" s="44" t="str">
        <f t="shared" ca="1" si="0"/>
        <v/>
      </c>
      <c r="N7" s="44" t="str">
        <f t="shared" ca="1" si="1"/>
        <v/>
      </c>
    </row>
    <row r="8" spans="1:14" x14ac:dyDescent="0.35">
      <c r="A8" s="10"/>
      <c r="B8" s="10"/>
      <c r="C8" s="43" t="str">
        <f>IF(B8="","",IFERROR(INDEX(Assessment!$E$5:$E$2000,MATCH(B8,Assessment!$A$5:$A$2000,0)),"Not found"))</f>
        <v/>
      </c>
      <c r="D8" s="43" t="str">
        <f>IF(B8="","",IFERROR(INDEX(Assessment!$B$5:$B$2000,MATCH(B8,Assessment!$A$5:$A$2000,0)),"Not found"))</f>
        <v/>
      </c>
      <c r="E8" s="10"/>
      <c r="F8" s="10"/>
      <c r="G8" s="10"/>
      <c r="H8" s="10"/>
      <c r="I8" s="10"/>
      <c r="J8" s="14"/>
      <c r="K8" s="10"/>
      <c r="L8" s="14"/>
      <c r="M8" s="44" t="str">
        <f t="shared" ca="1" si="0"/>
        <v/>
      </c>
      <c r="N8" s="44" t="str">
        <f t="shared" ca="1" si="1"/>
        <v/>
      </c>
    </row>
    <row r="9" spans="1:14" x14ac:dyDescent="0.35">
      <c r="A9" s="10"/>
      <c r="B9" s="10"/>
      <c r="C9" s="43" t="str">
        <f>IF(B9="","",IFERROR(INDEX(Assessment!$E$5:$E$2000,MATCH(B9,Assessment!$A$5:$A$2000,0)),"Not found"))</f>
        <v/>
      </c>
      <c r="D9" s="43" t="str">
        <f>IF(B9="","",IFERROR(INDEX(Assessment!$B$5:$B$2000,MATCH(B9,Assessment!$A$5:$A$2000,0)),"Not found"))</f>
        <v/>
      </c>
      <c r="E9" s="10"/>
      <c r="F9" s="10"/>
      <c r="G9" s="10"/>
      <c r="H9" s="10"/>
      <c r="I9" s="10"/>
      <c r="J9" s="14"/>
      <c r="K9" s="10"/>
      <c r="L9" s="14"/>
      <c r="M9" s="44" t="str">
        <f t="shared" ca="1" si="0"/>
        <v/>
      </c>
      <c r="N9" s="44" t="str">
        <f t="shared" ca="1" si="1"/>
        <v/>
      </c>
    </row>
    <row r="10" spans="1:14" x14ac:dyDescent="0.35">
      <c r="A10" s="10"/>
      <c r="B10" s="10"/>
      <c r="C10" s="43" t="str">
        <f>IF(B10="","",IFERROR(INDEX(Assessment!$E$5:$E$2000,MATCH(B10,Assessment!$A$5:$A$2000,0)),"Not found"))</f>
        <v/>
      </c>
      <c r="D10" s="43" t="str">
        <f>IF(B10="","",IFERROR(INDEX(Assessment!$B$5:$B$2000,MATCH(B10,Assessment!$A$5:$A$2000,0)),"Not found"))</f>
        <v/>
      </c>
      <c r="E10" s="10"/>
      <c r="F10" s="10"/>
      <c r="G10" s="10"/>
      <c r="H10" s="10"/>
      <c r="I10" s="10"/>
      <c r="J10" s="14"/>
      <c r="K10" s="10"/>
      <c r="L10" s="14"/>
      <c r="M10" s="44" t="str">
        <f t="shared" ca="1" si="0"/>
        <v/>
      </c>
      <c r="N10" s="44" t="str">
        <f t="shared" ca="1" si="1"/>
        <v/>
      </c>
    </row>
    <row r="11" spans="1:14" x14ac:dyDescent="0.35">
      <c r="A11" s="10"/>
      <c r="B11" s="10"/>
      <c r="C11" s="43" t="str">
        <f>IF(B11="","",IFERROR(INDEX(Assessment!$E$5:$E$2000,MATCH(B11,Assessment!$A$5:$A$2000,0)),"Not found"))</f>
        <v/>
      </c>
      <c r="D11" s="43" t="str">
        <f>IF(B11="","",IFERROR(INDEX(Assessment!$B$5:$B$2000,MATCH(B11,Assessment!$A$5:$A$2000,0)),"Not found"))</f>
        <v/>
      </c>
      <c r="E11" s="10"/>
      <c r="F11" s="10"/>
      <c r="G11" s="10"/>
      <c r="H11" s="10"/>
      <c r="I11" s="10"/>
      <c r="J11" s="14"/>
      <c r="K11" s="10"/>
      <c r="L11" s="14"/>
      <c r="M11" s="44" t="str">
        <f t="shared" ca="1" si="0"/>
        <v/>
      </c>
      <c r="N11" s="44" t="str">
        <f t="shared" ca="1" si="1"/>
        <v/>
      </c>
    </row>
    <row r="12" spans="1:14" x14ac:dyDescent="0.35">
      <c r="A12" s="10"/>
      <c r="B12" s="10"/>
      <c r="C12" s="43" t="str">
        <f>IF(B12="","",IFERROR(INDEX(Assessment!$E$5:$E$2000,MATCH(B12,Assessment!$A$5:$A$2000,0)),"Not found"))</f>
        <v/>
      </c>
      <c r="D12" s="43" t="str">
        <f>IF(B12="","",IFERROR(INDEX(Assessment!$B$5:$B$2000,MATCH(B12,Assessment!$A$5:$A$2000,0)),"Not found"))</f>
        <v/>
      </c>
      <c r="E12" s="10"/>
      <c r="F12" s="10"/>
      <c r="G12" s="10"/>
      <c r="H12" s="10"/>
      <c r="I12" s="10"/>
      <c r="J12" s="14"/>
      <c r="K12" s="10"/>
      <c r="L12" s="14"/>
      <c r="M12" s="44" t="str">
        <f t="shared" ca="1" si="0"/>
        <v/>
      </c>
      <c r="N12" s="44" t="str">
        <f t="shared" ca="1" si="1"/>
        <v/>
      </c>
    </row>
    <row r="13" spans="1:14" x14ac:dyDescent="0.35">
      <c r="A13" s="10"/>
      <c r="B13" s="10"/>
      <c r="C13" s="43" t="str">
        <f>IF(B13="","",IFERROR(INDEX(Assessment!$E$5:$E$2000,MATCH(B13,Assessment!$A$5:$A$2000,0)),"Not found"))</f>
        <v/>
      </c>
      <c r="D13" s="43" t="str">
        <f>IF(B13="","",IFERROR(INDEX(Assessment!$B$5:$B$2000,MATCH(B13,Assessment!$A$5:$A$2000,0)),"Not found"))</f>
        <v/>
      </c>
      <c r="E13" s="10"/>
      <c r="F13" s="10"/>
      <c r="G13" s="10"/>
      <c r="H13" s="10"/>
      <c r="I13" s="10"/>
      <c r="J13" s="14"/>
      <c r="K13" s="10"/>
      <c r="L13" s="14"/>
      <c r="M13" s="44" t="str">
        <f t="shared" ca="1" si="0"/>
        <v/>
      </c>
      <c r="N13" s="44" t="str">
        <f t="shared" ca="1" si="1"/>
        <v/>
      </c>
    </row>
    <row r="14" spans="1:14" x14ac:dyDescent="0.35">
      <c r="A14" s="10"/>
      <c r="B14" s="10"/>
      <c r="C14" s="43" t="str">
        <f>IF(B14="","",IFERROR(INDEX(Assessment!$E$5:$E$2000,MATCH(B14,Assessment!$A$5:$A$2000,0)),"Not found"))</f>
        <v/>
      </c>
      <c r="D14" s="43" t="str">
        <f>IF(B14="","",IFERROR(INDEX(Assessment!$B$5:$B$2000,MATCH(B14,Assessment!$A$5:$A$2000,0)),"Not found"))</f>
        <v/>
      </c>
      <c r="E14" s="10"/>
      <c r="F14" s="10"/>
      <c r="G14" s="10"/>
      <c r="H14" s="10"/>
      <c r="I14" s="10"/>
      <c r="J14" s="14"/>
      <c r="K14" s="10"/>
      <c r="L14" s="14"/>
      <c r="M14" s="44" t="str">
        <f t="shared" ca="1" si="0"/>
        <v/>
      </c>
      <c r="N14" s="44" t="str">
        <f t="shared" ca="1" si="1"/>
        <v/>
      </c>
    </row>
    <row r="15" spans="1:14" x14ac:dyDescent="0.35">
      <c r="A15" s="10"/>
      <c r="B15" s="10"/>
      <c r="C15" s="43" t="str">
        <f>IF(B15="","",IFERROR(INDEX(Assessment!$E$5:$E$2000,MATCH(B15,Assessment!$A$5:$A$2000,0)),"Not found"))</f>
        <v/>
      </c>
      <c r="D15" s="43" t="str">
        <f>IF(B15="","",IFERROR(INDEX(Assessment!$B$5:$B$2000,MATCH(B15,Assessment!$A$5:$A$2000,0)),"Not found"))</f>
        <v/>
      </c>
      <c r="E15" s="10"/>
      <c r="F15" s="10"/>
      <c r="G15" s="10"/>
      <c r="H15" s="10"/>
      <c r="I15" s="10"/>
      <c r="J15" s="14"/>
      <c r="K15" s="10"/>
      <c r="L15" s="14"/>
      <c r="M15" s="44" t="str">
        <f t="shared" ca="1" si="0"/>
        <v/>
      </c>
      <c r="N15" s="44" t="str">
        <f t="shared" ca="1" si="1"/>
        <v/>
      </c>
    </row>
    <row r="16" spans="1:14" x14ac:dyDescent="0.35">
      <c r="A16" s="10"/>
      <c r="B16" s="10"/>
      <c r="C16" s="43" t="str">
        <f>IF(B16="","",IFERROR(INDEX(Assessment!$E$5:$E$2000,MATCH(B16,Assessment!$A$5:$A$2000,0)),"Not found"))</f>
        <v/>
      </c>
      <c r="D16" s="43" t="str">
        <f>IF(B16="","",IFERROR(INDEX(Assessment!$B$5:$B$2000,MATCH(B16,Assessment!$A$5:$A$2000,0)),"Not found"))</f>
        <v/>
      </c>
      <c r="E16" s="10"/>
      <c r="F16" s="10"/>
      <c r="G16" s="10"/>
      <c r="H16" s="10"/>
      <c r="I16" s="10"/>
      <c r="J16" s="14"/>
      <c r="K16" s="10"/>
      <c r="L16" s="14"/>
      <c r="M16" s="44" t="str">
        <f t="shared" ca="1" si="0"/>
        <v/>
      </c>
      <c r="N16" s="44" t="str">
        <f t="shared" ca="1" si="1"/>
        <v/>
      </c>
    </row>
    <row r="17" spans="1:14" x14ac:dyDescent="0.35">
      <c r="A17" s="10"/>
      <c r="B17" s="10"/>
      <c r="C17" s="43" t="str">
        <f>IF(B17="","",IFERROR(INDEX(Assessment!$E$5:$E$2000,MATCH(B17,Assessment!$A$5:$A$2000,0)),"Not found"))</f>
        <v/>
      </c>
      <c r="D17" s="43" t="str">
        <f>IF(B17="","",IFERROR(INDEX(Assessment!$B$5:$B$2000,MATCH(B17,Assessment!$A$5:$A$2000,0)),"Not found"))</f>
        <v/>
      </c>
      <c r="E17" s="10"/>
      <c r="F17" s="10"/>
      <c r="G17" s="10"/>
      <c r="H17" s="10"/>
      <c r="I17" s="10"/>
      <c r="J17" s="14"/>
      <c r="K17" s="10"/>
      <c r="L17" s="14"/>
      <c r="M17" s="44" t="str">
        <f t="shared" ca="1" si="0"/>
        <v/>
      </c>
      <c r="N17" s="44" t="str">
        <f t="shared" ca="1" si="1"/>
        <v/>
      </c>
    </row>
    <row r="18" spans="1:14" x14ac:dyDescent="0.35">
      <c r="A18" s="10"/>
      <c r="B18" s="10"/>
      <c r="C18" s="43" t="str">
        <f>IF(B18="","",IFERROR(INDEX(Assessment!$E$5:$E$2000,MATCH(B18,Assessment!$A$5:$A$2000,0)),"Not found"))</f>
        <v/>
      </c>
      <c r="D18" s="43" t="str">
        <f>IF(B18="","",IFERROR(INDEX(Assessment!$B$5:$B$2000,MATCH(B18,Assessment!$A$5:$A$2000,0)),"Not found"))</f>
        <v/>
      </c>
      <c r="E18" s="10"/>
      <c r="F18" s="10"/>
      <c r="G18" s="10"/>
      <c r="H18" s="10"/>
      <c r="I18" s="10"/>
      <c r="J18" s="14"/>
      <c r="K18" s="10"/>
      <c r="L18" s="14"/>
      <c r="M18" s="44" t="str">
        <f t="shared" ca="1" si="0"/>
        <v/>
      </c>
      <c r="N18" s="44" t="str">
        <f t="shared" ca="1" si="1"/>
        <v/>
      </c>
    </row>
    <row r="19" spans="1:14" x14ac:dyDescent="0.35">
      <c r="A19" s="10"/>
      <c r="B19" s="10"/>
      <c r="C19" s="43" t="str">
        <f>IF(B19="","",IFERROR(INDEX(Assessment!$E$5:$E$2000,MATCH(B19,Assessment!$A$5:$A$2000,0)),"Not found"))</f>
        <v/>
      </c>
      <c r="D19" s="43" t="str">
        <f>IF(B19="","",IFERROR(INDEX(Assessment!$B$5:$B$2000,MATCH(B19,Assessment!$A$5:$A$2000,0)),"Not found"))</f>
        <v/>
      </c>
      <c r="E19" s="10"/>
      <c r="F19" s="10"/>
      <c r="G19" s="10"/>
      <c r="H19" s="10"/>
      <c r="I19" s="10"/>
      <c r="J19" s="14"/>
      <c r="K19" s="10"/>
      <c r="L19" s="14"/>
      <c r="M19" s="44" t="str">
        <f t="shared" ca="1" si="0"/>
        <v/>
      </c>
      <c r="N19" s="44" t="str">
        <f t="shared" ca="1" si="1"/>
        <v/>
      </c>
    </row>
    <row r="20" spans="1:14" x14ac:dyDescent="0.35">
      <c r="A20" s="10"/>
      <c r="B20" s="10"/>
      <c r="C20" s="43" t="str">
        <f>IF(B20="","",IFERROR(INDEX(Assessment!$E$5:$E$2000,MATCH(B20,Assessment!$A$5:$A$2000,0)),"Not found"))</f>
        <v/>
      </c>
      <c r="D20" s="43" t="str">
        <f>IF(B20="","",IFERROR(INDEX(Assessment!$B$5:$B$2000,MATCH(B20,Assessment!$A$5:$A$2000,0)),"Not found"))</f>
        <v/>
      </c>
      <c r="E20" s="10"/>
      <c r="F20" s="10"/>
      <c r="G20" s="10"/>
      <c r="H20" s="10"/>
      <c r="I20" s="10"/>
      <c r="J20" s="14"/>
      <c r="K20" s="10"/>
      <c r="L20" s="14"/>
      <c r="M20" s="44" t="str">
        <f t="shared" ca="1" si="0"/>
        <v/>
      </c>
      <c r="N20" s="44" t="str">
        <f t="shared" ca="1" si="1"/>
        <v/>
      </c>
    </row>
    <row r="21" spans="1:14" x14ac:dyDescent="0.35">
      <c r="A21" s="10"/>
      <c r="B21" s="10"/>
      <c r="C21" s="43" t="str">
        <f>IF(B21="","",IFERROR(INDEX(Assessment!$E$5:$E$2000,MATCH(B21,Assessment!$A$5:$A$2000,0)),"Not found"))</f>
        <v/>
      </c>
      <c r="D21" s="43" t="str">
        <f>IF(B21="","",IFERROR(INDEX(Assessment!$B$5:$B$2000,MATCH(B21,Assessment!$A$5:$A$2000,0)),"Not found"))</f>
        <v/>
      </c>
      <c r="E21" s="10"/>
      <c r="F21" s="10"/>
      <c r="G21" s="10"/>
      <c r="H21" s="10"/>
      <c r="I21" s="10"/>
      <c r="J21" s="14"/>
      <c r="K21" s="10"/>
      <c r="L21" s="14"/>
      <c r="M21" s="44" t="str">
        <f t="shared" ca="1" si="0"/>
        <v/>
      </c>
      <c r="N21" s="44" t="str">
        <f t="shared" ca="1" si="1"/>
        <v/>
      </c>
    </row>
    <row r="22" spans="1:14" x14ac:dyDescent="0.35">
      <c r="A22" s="10"/>
      <c r="B22" s="10"/>
      <c r="C22" s="43" t="str">
        <f>IF(B22="","",IFERROR(INDEX(Assessment!$E$5:$E$2000,MATCH(B22,Assessment!$A$5:$A$2000,0)),"Not found"))</f>
        <v/>
      </c>
      <c r="D22" s="43" t="str">
        <f>IF(B22="","",IFERROR(INDEX(Assessment!$B$5:$B$2000,MATCH(B22,Assessment!$A$5:$A$2000,0)),"Not found"))</f>
        <v/>
      </c>
      <c r="E22" s="10"/>
      <c r="F22" s="10"/>
      <c r="G22" s="10"/>
      <c r="H22" s="10"/>
      <c r="I22" s="10"/>
      <c r="J22" s="14"/>
      <c r="K22" s="10"/>
      <c r="L22" s="14"/>
      <c r="M22" s="44" t="str">
        <f t="shared" ca="1" si="0"/>
        <v/>
      </c>
      <c r="N22" s="44" t="str">
        <f t="shared" ca="1" si="1"/>
        <v/>
      </c>
    </row>
    <row r="23" spans="1:14" x14ac:dyDescent="0.35">
      <c r="A23" s="10"/>
      <c r="B23" s="10"/>
      <c r="C23" s="43" t="str">
        <f>IF(B23="","",IFERROR(INDEX(Assessment!$E$5:$E$2000,MATCH(B23,Assessment!$A$5:$A$2000,0)),"Not found"))</f>
        <v/>
      </c>
      <c r="D23" s="43" t="str">
        <f>IF(B23="","",IFERROR(INDEX(Assessment!$B$5:$B$2000,MATCH(B23,Assessment!$A$5:$A$2000,0)),"Not found"))</f>
        <v/>
      </c>
      <c r="E23" s="10"/>
      <c r="F23" s="10"/>
      <c r="G23" s="10"/>
      <c r="H23" s="10"/>
      <c r="I23" s="10"/>
      <c r="J23" s="14"/>
      <c r="K23" s="10"/>
      <c r="L23" s="14"/>
      <c r="M23" s="44" t="str">
        <f t="shared" ca="1" si="0"/>
        <v/>
      </c>
      <c r="N23" s="44" t="str">
        <f t="shared" ca="1" si="1"/>
        <v/>
      </c>
    </row>
    <row r="24" spans="1:14" x14ac:dyDescent="0.35">
      <c r="A24" s="10"/>
      <c r="B24" s="10"/>
      <c r="C24" s="43" t="str">
        <f>IF(B24="","",IFERROR(INDEX(Assessment!$E$5:$E$2000,MATCH(B24,Assessment!$A$5:$A$2000,0)),"Not found"))</f>
        <v/>
      </c>
      <c r="D24" s="43" t="str">
        <f>IF(B24="","",IFERROR(INDEX(Assessment!$B$5:$B$2000,MATCH(B24,Assessment!$A$5:$A$2000,0)),"Not found"))</f>
        <v/>
      </c>
      <c r="E24" s="10"/>
      <c r="F24" s="10"/>
      <c r="G24" s="10"/>
      <c r="H24" s="10"/>
      <c r="I24" s="10"/>
      <c r="J24" s="14"/>
      <c r="K24" s="10"/>
      <c r="L24" s="14"/>
      <c r="M24" s="44" t="str">
        <f t="shared" ca="1" si="0"/>
        <v/>
      </c>
      <c r="N24" s="44" t="str">
        <f t="shared" ca="1" si="1"/>
        <v/>
      </c>
    </row>
    <row r="25" spans="1:14" x14ac:dyDescent="0.35">
      <c r="A25" s="10"/>
      <c r="B25" s="10"/>
      <c r="C25" s="43" t="str">
        <f>IF(B25="","",IFERROR(INDEX(Assessment!$E$5:$E$2000,MATCH(B25,Assessment!$A$5:$A$2000,0)),"Not found"))</f>
        <v/>
      </c>
      <c r="D25" s="43" t="str">
        <f>IF(B25="","",IFERROR(INDEX(Assessment!$B$5:$B$2000,MATCH(B25,Assessment!$A$5:$A$2000,0)),"Not found"))</f>
        <v/>
      </c>
      <c r="E25" s="10"/>
      <c r="F25" s="10"/>
      <c r="G25" s="10"/>
      <c r="H25" s="10"/>
      <c r="I25" s="10"/>
      <c r="J25" s="14"/>
      <c r="K25" s="10"/>
      <c r="L25" s="14"/>
      <c r="M25" s="44" t="str">
        <f t="shared" ca="1" si="0"/>
        <v/>
      </c>
      <c r="N25" s="44" t="str">
        <f t="shared" ca="1" si="1"/>
        <v/>
      </c>
    </row>
    <row r="26" spans="1:14" x14ac:dyDescent="0.35">
      <c r="A26" s="10"/>
      <c r="B26" s="10"/>
      <c r="C26" s="43" t="str">
        <f>IF(B26="","",IFERROR(INDEX(Assessment!$E$5:$E$2000,MATCH(B26,Assessment!$A$5:$A$2000,0)),"Not found"))</f>
        <v/>
      </c>
      <c r="D26" s="43" t="str">
        <f>IF(B26="","",IFERROR(INDEX(Assessment!$B$5:$B$2000,MATCH(B26,Assessment!$A$5:$A$2000,0)),"Not found"))</f>
        <v/>
      </c>
      <c r="E26" s="10"/>
      <c r="F26" s="10"/>
      <c r="G26" s="10"/>
      <c r="H26" s="10"/>
      <c r="I26" s="10"/>
      <c r="J26" s="14"/>
      <c r="K26" s="10"/>
      <c r="L26" s="14"/>
      <c r="M26" s="44" t="str">
        <f t="shared" ca="1" si="0"/>
        <v/>
      </c>
      <c r="N26" s="44" t="str">
        <f t="shared" ca="1" si="1"/>
        <v/>
      </c>
    </row>
    <row r="27" spans="1:14" x14ac:dyDescent="0.35">
      <c r="A27" s="10"/>
      <c r="B27" s="10"/>
      <c r="C27" s="43" t="str">
        <f>IF(B27="","",IFERROR(INDEX(Assessment!$E$5:$E$2000,MATCH(B27,Assessment!$A$5:$A$2000,0)),"Not found"))</f>
        <v/>
      </c>
      <c r="D27" s="43" t="str">
        <f>IF(B27="","",IFERROR(INDEX(Assessment!$B$5:$B$2000,MATCH(B27,Assessment!$A$5:$A$2000,0)),"Not found"))</f>
        <v/>
      </c>
      <c r="E27" s="10"/>
      <c r="F27" s="10"/>
      <c r="G27" s="10"/>
      <c r="H27" s="10"/>
      <c r="I27" s="10"/>
      <c r="J27" s="14"/>
      <c r="K27" s="10"/>
      <c r="L27" s="14"/>
      <c r="M27" s="44" t="str">
        <f t="shared" ca="1" si="0"/>
        <v/>
      </c>
      <c r="N27" s="44" t="str">
        <f t="shared" ca="1" si="1"/>
        <v/>
      </c>
    </row>
    <row r="28" spans="1:14" x14ac:dyDescent="0.35">
      <c r="A28" s="10"/>
      <c r="B28" s="10"/>
      <c r="C28" s="43" t="str">
        <f>IF(B28="","",IFERROR(INDEX(Assessment!$E$5:$E$2000,MATCH(B28,Assessment!$A$5:$A$2000,0)),"Not found"))</f>
        <v/>
      </c>
      <c r="D28" s="43" t="str">
        <f>IF(B28="","",IFERROR(INDEX(Assessment!$B$5:$B$2000,MATCH(B28,Assessment!$A$5:$A$2000,0)),"Not found"))</f>
        <v/>
      </c>
      <c r="E28" s="10"/>
      <c r="F28" s="10"/>
      <c r="G28" s="10"/>
      <c r="H28" s="10"/>
      <c r="I28" s="10"/>
      <c r="J28" s="14"/>
      <c r="K28" s="10"/>
      <c r="L28" s="14"/>
      <c r="M28" s="44" t="str">
        <f t="shared" ca="1" si="0"/>
        <v/>
      </c>
      <c r="N28" s="44" t="str">
        <f t="shared" ca="1" si="1"/>
        <v/>
      </c>
    </row>
    <row r="29" spans="1:14" x14ac:dyDescent="0.35">
      <c r="A29" s="10"/>
      <c r="B29" s="10"/>
      <c r="C29" s="43" t="str">
        <f>IF(B29="","",IFERROR(INDEX(Assessment!$E$5:$E$2000,MATCH(B29,Assessment!$A$5:$A$2000,0)),"Not found"))</f>
        <v/>
      </c>
      <c r="D29" s="43" t="str">
        <f>IF(B29="","",IFERROR(INDEX(Assessment!$B$5:$B$2000,MATCH(B29,Assessment!$A$5:$A$2000,0)),"Not found"))</f>
        <v/>
      </c>
      <c r="E29" s="10"/>
      <c r="F29" s="10"/>
      <c r="G29" s="10"/>
      <c r="H29" s="10"/>
      <c r="I29" s="10"/>
      <c r="J29" s="14"/>
      <c r="K29" s="10"/>
      <c r="L29" s="14"/>
      <c r="M29" s="44" t="str">
        <f t="shared" ca="1" si="0"/>
        <v/>
      </c>
      <c r="N29" s="44" t="str">
        <f t="shared" ca="1" si="1"/>
        <v/>
      </c>
    </row>
    <row r="30" spans="1:14" x14ac:dyDescent="0.35">
      <c r="A30" s="10"/>
      <c r="B30" s="10"/>
      <c r="C30" s="43" t="str">
        <f>IF(B30="","",IFERROR(INDEX(Assessment!$E$5:$E$2000,MATCH(B30,Assessment!$A$5:$A$2000,0)),"Not found"))</f>
        <v/>
      </c>
      <c r="D30" s="43" t="str">
        <f>IF(B30="","",IFERROR(INDEX(Assessment!$B$5:$B$2000,MATCH(B30,Assessment!$A$5:$A$2000,0)),"Not found"))</f>
        <v/>
      </c>
      <c r="E30" s="10"/>
      <c r="F30" s="10"/>
      <c r="G30" s="10"/>
      <c r="H30" s="10"/>
      <c r="I30" s="10"/>
      <c r="J30" s="14"/>
      <c r="K30" s="10"/>
      <c r="L30" s="14"/>
      <c r="M30" s="44" t="str">
        <f t="shared" ca="1" si="0"/>
        <v/>
      </c>
      <c r="N30" s="44" t="str">
        <f t="shared" ca="1" si="1"/>
        <v/>
      </c>
    </row>
    <row r="31" spans="1:14" x14ac:dyDescent="0.35">
      <c r="A31" s="10"/>
      <c r="B31" s="10"/>
      <c r="C31" s="43" t="str">
        <f>IF(B31="","",IFERROR(INDEX(Assessment!$E$5:$E$2000,MATCH(B31,Assessment!$A$5:$A$2000,0)),"Not found"))</f>
        <v/>
      </c>
      <c r="D31" s="43" t="str">
        <f>IF(B31="","",IFERROR(INDEX(Assessment!$B$5:$B$2000,MATCH(B31,Assessment!$A$5:$A$2000,0)),"Not found"))</f>
        <v/>
      </c>
      <c r="E31" s="10"/>
      <c r="F31" s="10"/>
      <c r="G31" s="10"/>
      <c r="H31" s="10"/>
      <c r="I31" s="10"/>
      <c r="J31" s="14"/>
      <c r="K31" s="10"/>
      <c r="L31" s="14"/>
      <c r="M31" s="44" t="str">
        <f t="shared" ca="1" si="0"/>
        <v/>
      </c>
      <c r="N31" s="44" t="str">
        <f t="shared" ca="1" si="1"/>
        <v/>
      </c>
    </row>
    <row r="32" spans="1:14" x14ac:dyDescent="0.35">
      <c r="A32" s="10"/>
      <c r="B32" s="10"/>
      <c r="C32" s="43" t="str">
        <f>IF(B32="","",IFERROR(INDEX(Assessment!$E$5:$E$2000,MATCH(B32,Assessment!$A$5:$A$2000,0)),"Not found"))</f>
        <v/>
      </c>
      <c r="D32" s="43" t="str">
        <f>IF(B32="","",IFERROR(INDEX(Assessment!$B$5:$B$2000,MATCH(B32,Assessment!$A$5:$A$2000,0)),"Not found"))</f>
        <v/>
      </c>
      <c r="E32" s="10"/>
      <c r="F32" s="10"/>
      <c r="G32" s="10"/>
      <c r="H32" s="10"/>
      <c r="I32" s="10"/>
      <c r="J32" s="14"/>
      <c r="K32" s="10"/>
      <c r="L32" s="14"/>
      <c r="M32" s="44" t="str">
        <f t="shared" ca="1" si="0"/>
        <v/>
      </c>
      <c r="N32" s="44" t="str">
        <f t="shared" ca="1" si="1"/>
        <v/>
      </c>
    </row>
    <row r="33" spans="1:14" x14ac:dyDescent="0.35">
      <c r="A33" s="10"/>
      <c r="B33" s="10"/>
      <c r="C33" s="43" t="str">
        <f>IF(B33="","",IFERROR(INDEX(Assessment!$E$5:$E$2000,MATCH(B33,Assessment!$A$5:$A$2000,0)),"Not found"))</f>
        <v/>
      </c>
      <c r="D33" s="43" t="str">
        <f>IF(B33="","",IFERROR(INDEX(Assessment!$B$5:$B$2000,MATCH(B33,Assessment!$A$5:$A$2000,0)),"Not found"))</f>
        <v/>
      </c>
      <c r="E33" s="10"/>
      <c r="F33" s="10"/>
      <c r="G33" s="10"/>
      <c r="H33" s="10"/>
      <c r="I33" s="10"/>
      <c r="J33" s="14"/>
      <c r="K33" s="10"/>
      <c r="L33" s="14"/>
      <c r="M33" s="44" t="str">
        <f t="shared" ca="1" si="0"/>
        <v/>
      </c>
      <c r="N33" s="44" t="str">
        <f t="shared" ca="1" si="1"/>
        <v/>
      </c>
    </row>
    <row r="34" spans="1:14" x14ac:dyDescent="0.35">
      <c r="A34" s="10"/>
      <c r="B34" s="10"/>
      <c r="C34" s="43" t="str">
        <f>IF(B34="","",IFERROR(INDEX(Assessment!$E$5:$E$2000,MATCH(B34,Assessment!$A$5:$A$2000,0)),"Not found"))</f>
        <v/>
      </c>
      <c r="D34" s="43" t="str">
        <f>IF(B34="","",IFERROR(INDEX(Assessment!$B$5:$B$2000,MATCH(B34,Assessment!$A$5:$A$2000,0)),"Not found"))</f>
        <v/>
      </c>
      <c r="E34" s="10"/>
      <c r="F34" s="10"/>
      <c r="G34" s="10"/>
      <c r="H34" s="10"/>
      <c r="I34" s="10"/>
      <c r="J34" s="14"/>
      <c r="K34" s="10"/>
      <c r="L34" s="14"/>
      <c r="M34" s="44" t="str">
        <f t="shared" ca="1" si="0"/>
        <v/>
      </c>
      <c r="N34" s="44" t="str">
        <f t="shared" ca="1" si="1"/>
        <v/>
      </c>
    </row>
    <row r="35" spans="1:14" x14ac:dyDescent="0.35">
      <c r="A35" s="10"/>
      <c r="B35" s="10"/>
      <c r="C35" s="43" t="str">
        <f>IF(B35="","",IFERROR(INDEX(Assessment!$E$5:$E$2000,MATCH(B35,Assessment!$A$5:$A$2000,0)),"Not found"))</f>
        <v/>
      </c>
      <c r="D35" s="43" t="str">
        <f>IF(B35="","",IFERROR(INDEX(Assessment!$B$5:$B$2000,MATCH(B35,Assessment!$A$5:$A$2000,0)),"Not found"))</f>
        <v/>
      </c>
      <c r="E35" s="10"/>
      <c r="F35" s="10"/>
      <c r="G35" s="10"/>
      <c r="H35" s="10"/>
      <c r="I35" s="10"/>
      <c r="J35" s="14"/>
      <c r="K35" s="10"/>
      <c r="L35" s="14"/>
      <c r="M35" s="44" t="str">
        <f t="shared" ca="1" si="0"/>
        <v/>
      </c>
      <c r="N35" s="44" t="str">
        <f t="shared" ca="1" si="1"/>
        <v/>
      </c>
    </row>
    <row r="36" spans="1:14" x14ac:dyDescent="0.35">
      <c r="A36" s="10"/>
      <c r="B36" s="10"/>
      <c r="C36" s="43" t="str">
        <f>IF(B36="","",IFERROR(INDEX(Assessment!$E$5:$E$2000,MATCH(B36,Assessment!$A$5:$A$2000,0)),"Not found"))</f>
        <v/>
      </c>
      <c r="D36" s="43" t="str">
        <f>IF(B36="","",IFERROR(INDEX(Assessment!$B$5:$B$2000,MATCH(B36,Assessment!$A$5:$A$2000,0)),"Not found"))</f>
        <v/>
      </c>
      <c r="E36" s="10"/>
      <c r="F36" s="10"/>
      <c r="G36" s="10"/>
      <c r="H36" s="10"/>
      <c r="I36" s="10"/>
      <c r="J36" s="14"/>
      <c r="K36" s="10"/>
      <c r="L36" s="14"/>
      <c r="M36" s="44" t="str">
        <f t="shared" ca="1" si="0"/>
        <v/>
      </c>
      <c r="N36" s="44" t="str">
        <f t="shared" ca="1" si="1"/>
        <v/>
      </c>
    </row>
    <row r="37" spans="1:14" x14ac:dyDescent="0.35">
      <c r="A37" s="10"/>
      <c r="B37" s="10"/>
      <c r="C37" s="43" t="str">
        <f>IF(B37="","",IFERROR(INDEX(Assessment!$E$5:$E$2000,MATCH(B37,Assessment!$A$5:$A$2000,0)),"Not found"))</f>
        <v/>
      </c>
      <c r="D37" s="43" t="str">
        <f>IF(B37="","",IFERROR(INDEX(Assessment!$B$5:$B$2000,MATCH(B37,Assessment!$A$5:$A$2000,0)),"Not found"))</f>
        <v/>
      </c>
      <c r="E37" s="10"/>
      <c r="F37" s="10"/>
      <c r="G37" s="10"/>
      <c r="H37" s="10"/>
      <c r="I37" s="10"/>
      <c r="J37" s="14"/>
      <c r="K37" s="10"/>
      <c r="L37" s="14"/>
      <c r="M37" s="44" t="str">
        <f t="shared" ca="1" si="0"/>
        <v/>
      </c>
      <c r="N37" s="44" t="str">
        <f t="shared" ca="1" si="1"/>
        <v/>
      </c>
    </row>
    <row r="38" spans="1:14" x14ac:dyDescent="0.35">
      <c r="A38" s="10"/>
      <c r="B38" s="10"/>
      <c r="C38" s="43" t="str">
        <f>IF(B38="","",IFERROR(INDEX(Assessment!$E$5:$E$2000,MATCH(B38,Assessment!$A$5:$A$2000,0)),"Not found"))</f>
        <v/>
      </c>
      <c r="D38" s="43" t="str">
        <f>IF(B38="","",IFERROR(INDEX(Assessment!$B$5:$B$2000,MATCH(B38,Assessment!$A$5:$A$2000,0)),"Not found"))</f>
        <v/>
      </c>
      <c r="E38" s="10"/>
      <c r="F38" s="10"/>
      <c r="G38" s="10"/>
      <c r="H38" s="10"/>
      <c r="I38" s="10"/>
      <c r="J38" s="14"/>
      <c r="K38" s="10"/>
      <c r="L38" s="14"/>
      <c r="M38" s="44" t="str">
        <f t="shared" ref="M38:M69" ca="1" si="2">IF(OR(L38="",K38="Closed",K38="Risk Accepted"),"",TODAY()-L38)</f>
        <v/>
      </c>
      <c r="N38" s="44" t="str">
        <f t="shared" ref="N38:N69" ca="1" si="3">IF(OR(J38="",K38="Closed",K38="Risk Accepted",K38="Remediated"),"",IF(TODAY()&gt;J38,"Overdue",""))</f>
        <v/>
      </c>
    </row>
    <row r="39" spans="1:14" x14ac:dyDescent="0.35">
      <c r="A39" s="10"/>
      <c r="B39" s="10"/>
      <c r="C39" s="43" t="str">
        <f>IF(B39="","",IFERROR(INDEX(Assessment!$E$5:$E$2000,MATCH(B39,Assessment!$A$5:$A$2000,0)),"Not found"))</f>
        <v/>
      </c>
      <c r="D39" s="43" t="str">
        <f>IF(B39="","",IFERROR(INDEX(Assessment!$B$5:$B$2000,MATCH(B39,Assessment!$A$5:$A$2000,0)),"Not found"))</f>
        <v/>
      </c>
      <c r="E39" s="10"/>
      <c r="F39" s="10"/>
      <c r="G39" s="10"/>
      <c r="H39" s="10"/>
      <c r="I39" s="10"/>
      <c r="J39" s="14"/>
      <c r="K39" s="10"/>
      <c r="L39" s="14"/>
      <c r="M39" s="44" t="str">
        <f t="shared" ca="1" si="2"/>
        <v/>
      </c>
      <c r="N39" s="44" t="str">
        <f t="shared" ca="1" si="3"/>
        <v/>
      </c>
    </row>
    <row r="40" spans="1:14" x14ac:dyDescent="0.35">
      <c r="A40" s="10"/>
      <c r="B40" s="10"/>
      <c r="C40" s="43" t="str">
        <f>IF(B40="","",IFERROR(INDEX(Assessment!$E$5:$E$2000,MATCH(B40,Assessment!$A$5:$A$2000,0)),"Not found"))</f>
        <v/>
      </c>
      <c r="D40" s="43" t="str">
        <f>IF(B40="","",IFERROR(INDEX(Assessment!$B$5:$B$2000,MATCH(B40,Assessment!$A$5:$A$2000,0)),"Not found"))</f>
        <v/>
      </c>
      <c r="E40" s="10"/>
      <c r="F40" s="10"/>
      <c r="G40" s="10"/>
      <c r="H40" s="10"/>
      <c r="I40" s="10"/>
      <c r="J40" s="14"/>
      <c r="K40" s="10"/>
      <c r="L40" s="14"/>
      <c r="M40" s="44" t="str">
        <f t="shared" ca="1" si="2"/>
        <v/>
      </c>
      <c r="N40" s="44" t="str">
        <f t="shared" ca="1" si="3"/>
        <v/>
      </c>
    </row>
    <row r="41" spans="1:14" x14ac:dyDescent="0.35">
      <c r="A41" s="10"/>
      <c r="B41" s="10"/>
      <c r="C41" s="43" t="str">
        <f>IF(B41="","",IFERROR(INDEX(Assessment!$E$5:$E$2000,MATCH(B41,Assessment!$A$5:$A$2000,0)),"Not found"))</f>
        <v/>
      </c>
      <c r="D41" s="43" t="str">
        <f>IF(B41="","",IFERROR(INDEX(Assessment!$B$5:$B$2000,MATCH(B41,Assessment!$A$5:$A$2000,0)),"Not found"))</f>
        <v/>
      </c>
      <c r="E41" s="10"/>
      <c r="F41" s="10"/>
      <c r="G41" s="10"/>
      <c r="H41" s="10"/>
      <c r="I41" s="10"/>
      <c r="J41" s="14"/>
      <c r="K41" s="10"/>
      <c r="L41" s="14"/>
      <c r="M41" s="44" t="str">
        <f t="shared" ca="1" si="2"/>
        <v/>
      </c>
      <c r="N41" s="44" t="str">
        <f t="shared" ca="1" si="3"/>
        <v/>
      </c>
    </row>
    <row r="42" spans="1:14" x14ac:dyDescent="0.35">
      <c r="A42" s="10"/>
      <c r="B42" s="10"/>
      <c r="C42" s="43" t="str">
        <f>IF(B42="","",IFERROR(INDEX(Assessment!$E$5:$E$2000,MATCH(B42,Assessment!$A$5:$A$2000,0)),"Not found"))</f>
        <v/>
      </c>
      <c r="D42" s="43" t="str">
        <f>IF(B42="","",IFERROR(INDEX(Assessment!$B$5:$B$2000,MATCH(B42,Assessment!$A$5:$A$2000,0)),"Not found"))</f>
        <v/>
      </c>
      <c r="E42" s="10"/>
      <c r="F42" s="10"/>
      <c r="G42" s="10"/>
      <c r="H42" s="10"/>
      <c r="I42" s="10"/>
      <c r="J42" s="14"/>
      <c r="K42" s="10"/>
      <c r="L42" s="14"/>
      <c r="M42" s="44" t="str">
        <f t="shared" ca="1" si="2"/>
        <v/>
      </c>
      <c r="N42" s="44" t="str">
        <f t="shared" ca="1" si="3"/>
        <v/>
      </c>
    </row>
    <row r="43" spans="1:14" x14ac:dyDescent="0.35">
      <c r="A43" s="10"/>
      <c r="B43" s="10"/>
      <c r="C43" s="43" t="str">
        <f>IF(B43="","",IFERROR(INDEX(Assessment!$E$5:$E$2000,MATCH(B43,Assessment!$A$5:$A$2000,0)),"Not found"))</f>
        <v/>
      </c>
      <c r="D43" s="43" t="str">
        <f>IF(B43="","",IFERROR(INDEX(Assessment!$B$5:$B$2000,MATCH(B43,Assessment!$A$5:$A$2000,0)),"Not found"))</f>
        <v/>
      </c>
      <c r="E43" s="10"/>
      <c r="F43" s="10"/>
      <c r="G43" s="10"/>
      <c r="H43" s="10"/>
      <c r="I43" s="10"/>
      <c r="J43" s="14"/>
      <c r="K43" s="10"/>
      <c r="L43" s="14"/>
      <c r="M43" s="44" t="str">
        <f t="shared" ca="1" si="2"/>
        <v/>
      </c>
      <c r="N43" s="44" t="str">
        <f t="shared" ca="1" si="3"/>
        <v/>
      </c>
    </row>
    <row r="44" spans="1:14" x14ac:dyDescent="0.35">
      <c r="A44" s="10"/>
      <c r="B44" s="10"/>
      <c r="C44" s="43" t="str">
        <f>IF(B44="","",IFERROR(INDEX(Assessment!$E$5:$E$2000,MATCH(B44,Assessment!$A$5:$A$2000,0)),"Not found"))</f>
        <v/>
      </c>
      <c r="D44" s="43" t="str">
        <f>IF(B44="","",IFERROR(INDEX(Assessment!$B$5:$B$2000,MATCH(B44,Assessment!$A$5:$A$2000,0)),"Not found"))</f>
        <v/>
      </c>
      <c r="E44" s="10"/>
      <c r="F44" s="10"/>
      <c r="G44" s="10"/>
      <c r="H44" s="10"/>
      <c r="I44" s="10"/>
      <c r="J44" s="14"/>
      <c r="K44" s="10"/>
      <c r="L44" s="14"/>
      <c r="M44" s="44" t="str">
        <f t="shared" ca="1" si="2"/>
        <v/>
      </c>
      <c r="N44" s="44" t="str">
        <f t="shared" ca="1" si="3"/>
        <v/>
      </c>
    </row>
    <row r="45" spans="1:14" x14ac:dyDescent="0.35">
      <c r="A45" s="10"/>
      <c r="B45" s="10"/>
      <c r="C45" s="43" t="str">
        <f>IF(B45="","",IFERROR(INDEX(Assessment!$E$5:$E$2000,MATCH(B45,Assessment!$A$5:$A$2000,0)),"Not found"))</f>
        <v/>
      </c>
      <c r="D45" s="43" t="str">
        <f>IF(B45="","",IFERROR(INDEX(Assessment!$B$5:$B$2000,MATCH(B45,Assessment!$A$5:$A$2000,0)),"Not found"))</f>
        <v/>
      </c>
      <c r="E45" s="10"/>
      <c r="F45" s="10"/>
      <c r="G45" s="10"/>
      <c r="H45" s="10"/>
      <c r="I45" s="10"/>
      <c r="J45" s="14"/>
      <c r="K45" s="10"/>
      <c r="L45" s="14"/>
      <c r="M45" s="44" t="str">
        <f t="shared" ca="1" si="2"/>
        <v/>
      </c>
      <c r="N45" s="44" t="str">
        <f t="shared" ca="1" si="3"/>
        <v/>
      </c>
    </row>
    <row r="46" spans="1:14" x14ac:dyDescent="0.35">
      <c r="A46" s="10"/>
      <c r="B46" s="10"/>
      <c r="C46" s="43" t="str">
        <f>IF(B46="","",IFERROR(INDEX(Assessment!$E$5:$E$2000,MATCH(B46,Assessment!$A$5:$A$2000,0)),"Not found"))</f>
        <v/>
      </c>
      <c r="D46" s="43" t="str">
        <f>IF(B46="","",IFERROR(INDEX(Assessment!$B$5:$B$2000,MATCH(B46,Assessment!$A$5:$A$2000,0)),"Not found"))</f>
        <v/>
      </c>
      <c r="E46" s="10"/>
      <c r="F46" s="10"/>
      <c r="G46" s="10"/>
      <c r="H46" s="10"/>
      <c r="I46" s="10"/>
      <c r="J46" s="14"/>
      <c r="K46" s="10"/>
      <c r="L46" s="14"/>
      <c r="M46" s="44" t="str">
        <f t="shared" ca="1" si="2"/>
        <v/>
      </c>
      <c r="N46" s="44" t="str">
        <f t="shared" ca="1" si="3"/>
        <v/>
      </c>
    </row>
    <row r="47" spans="1:14" x14ac:dyDescent="0.35">
      <c r="A47" s="10"/>
      <c r="B47" s="10"/>
      <c r="C47" s="43" t="str">
        <f>IF(B47="","",IFERROR(INDEX(Assessment!$E$5:$E$2000,MATCH(B47,Assessment!$A$5:$A$2000,0)),"Not found"))</f>
        <v/>
      </c>
      <c r="D47" s="43" t="str">
        <f>IF(B47="","",IFERROR(INDEX(Assessment!$B$5:$B$2000,MATCH(B47,Assessment!$A$5:$A$2000,0)),"Not found"))</f>
        <v/>
      </c>
      <c r="E47" s="10"/>
      <c r="F47" s="10"/>
      <c r="G47" s="10"/>
      <c r="H47" s="10"/>
      <c r="I47" s="10"/>
      <c r="J47" s="14"/>
      <c r="K47" s="10"/>
      <c r="L47" s="14"/>
      <c r="M47" s="44" t="str">
        <f t="shared" ca="1" si="2"/>
        <v/>
      </c>
      <c r="N47" s="44" t="str">
        <f t="shared" ca="1" si="3"/>
        <v/>
      </c>
    </row>
    <row r="48" spans="1:14" x14ac:dyDescent="0.35">
      <c r="A48" s="10"/>
      <c r="B48" s="10"/>
      <c r="C48" s="43" t="str">
        <f>IF(B48="","",IFERROR(INDEX(Assessment!$E$5:$E$2000,MATCH(B48,Assessment!$A$5:$A$2000,0)),"Not found"))</f>
        <v/>
      </c>
      <c r="D48" s="43" t="str">
        <f>IF(B48="","",IFERROR(INDEX(Assessment!$B$5:$B$2000,MATCH(B48,Assessment!$A$5:$A$2000,0)),"Not found"))</f>
        <v/>
      </c>
      <c r="E48" s="10"/>
      <c r="F48" s="10"/>
      <c r="G48" s="10"/>
      <c r="H48" s="10"/>
      <c r="I48" s="10"/>
      <c r="J48" s="14"/>
      <c r="K48" s="10"/>
      <c r="L48" s="14"/>
      <c r="M48" s="44" t="str">
        <f t="shared" ca="1" si="2"/>
        <v/>
      </c>
      <c r="N48" s="44" t="str">
        <f t="shared" ca="1" si="3"/>
        <v/>
      </c>
    </row>
    <row r="49" spans="1:14" x14ac:dyDescent="0.35">
      <c r="A49" s="10"/>
      <c r="B49" s="10"/>
      <c r="C49" s="43" t="str">
        <f>IF(B49="","",IFERROR(INDEX(Assessment!$E$5:$E$2000,MATCH(B49,Assessment!$A$5:$A$2000,0)),"Not found"))</f>
        <v/>
      </c>
      <c r="D49" s="43" t="str">
        <f>IF(B49="","",IFERROR(INDEX(Assessment!$B$5:$B$2000,MATCH(B49,Assessment!$A$5:$A$2000,0)),"Not found"))</f>
        <v/>
      </c>
      <c r="E49" s="10"/>
      <c r="F49" s="10"/>
      <c r="G49" s="10"/>
      <c r="H49" s="10"/>
      <c r="I49" s="10"/>
      <c r="J49" s="14"/>
      <c r="K49" s="10"/>
      <c r="L49" s="14"/>
      <c r="M49" s="44" t="str">
        <f t="shared" ca="1" si="2"/>
        <v/>
      </c>
      <c r="N49" s="44" t="str">
        <f t="shared" ca="1" si="3"/>
        <v/>
      </c>
    </row>
    <row r="50" spans="1:14" x14ac:dyDescent="0.35">
      <c r="A50" s="10"/>
      <c r="B50" s="10"/>
      <c r="C50" s="43" t="str">
        <f>IF(B50="","",IFERROR(INDEX(Assessment!$E$5:$E$2000,MATCH(B50,Assessment!$A$5:$A$2000,0)),"Not found"))</f>
        <v/>
      </c>
      <c r="D50" s="43" t="str">
        <f>IF(B50="","",IFERROR(INDEX(Assessment!$B$5:$B$2000,MATCH(B50,Assessment!$A$5:$A$2000,0)),"Not found"))</f>
        <v/>
      </c>
      <c r="E50" s="10"/>
      <c r="F50" s="10"/>
      <c r="G50" s="10"/>
      <c r="H50" s="10"/>
      <c r="I50" s="10"/>
      <c r="J50" s="14"/>
      <c r="K50" s="10"/>
      <c r="L50" s="14"/>
      <c r="M50" s="44" t="str">
        <f t="shared" ca="1" si="2"/>
        <v/>
      </c>
      <c r="N50" s="44" t="str">
        <f t="shared" ca="1" si="3"/>
        <v/>
      </c>
    </row>
    <row r="51" spans="1:14" x14ac:dyDescent="0.35">
      <c r="A51" s="10"/>
      <c r="B51" s="10"/>
      <c r="C51" s="43" t="str">
        <f>IF(B51="","",IFERROR(INDEX(Assessment!$E$5:$E$2000,MATCH(B51,Assessment!$A$5:$A$2000,0)),"Not found"))</f>
        <v/>
      </c>
      <c r="D51" s="43" t="str">
        <f>IF(B51="","",IFERROR(INDEX(Assessment!$B$5:$B$2000,MATCH(B51,Assessment!$A$5:$A$2000,0)),"Not found"))</f>
        <v/>
      </c>
      <c r="E51" s="10"/>
      <c r="F51" s="10"/>
      <c r="G51" s="10"/>
      <c r="H51" s="10"/>
      <c r="I51" s="10"/>
      <c r="J51" s="14"/>
      <c r="K51" s="10"/>
      <c r="L51" s="14"/>
      <c r="M51" s="44" t="str">
        <f t="shared" ca="1" si="2"/>
        <v/>
      </c>
      <c r="N51" s="44" t="str">
        <f t="shared" ca="1" si="3"/>
        <v/>
      </c>
    </row>
    <row r="52" spans="1:14" x14ac:dyDescent="0.35">
      <c r="A52" s="10"/>
      <c r="B52" s="10"/>
      <c r="C52" s="43" t="str">
        <f>IF(B52="","",IFERROR(INDEX(Assessment!$E$5:$E$2000,MATCH(B52,Assessment!$A$5:$A$2000,0)),"Not found"))</f>
        <v/>
      </c>
      <c r="D52" s="43" t="str">
        <f>IF(B52="","",IFERROR(INDEX(Assessment!$B$5:$B$2000,MATCH(B52,Assessment!$A$5:$A$2000,0)),"Not found"))</f>
        <v/>
      </c>
      <c r="E52" s="10"/>
      <c r="F52" s="10"/>
      <c r="G52" s="10"/>
      <c r="H52" s="10"/>
      <c r="I52" s="10"/>
      <c r="J52" s="14"/>
      <c r="K52" s="10"/>
      <c r="L52" s="14"/>
      <c r="M52" s="44" t="str">
        <f t="shared" ca="1" si="2"/>
        <v/>
      </c>
      <c r="N52" s="44" t="str">
        <f t="shared" ca="1" si="3"/>
        <v/>
      </c>
    </row>
    <row r="53" spans="1:14" x14ac:dyDescent="0.35">
      <c r="A53" s="10"/>
      <c r="B53" s="10"/>
      <c r="C53" s="43" t="str">
        <f>IF(B53="","",IFERROR(INDEX(Assessment!$E$5:$E$2000,MATCH(B53,Assessment!$A$5:$A$2000,0)),"Not found"))</f>
        <v/>
      </c>
      <c r="D53" s="43" t="str">
        <f>IF(B53="","",IFERROR(INDEX(Assessment!$B$5:$B$2000,MATCH(B53,Assessment!$A$5:$A$2000,0)),"Not found"))</f>
        <v/>
      </c>
      <c r="E53" s="10"/>
      <c r="F53" s="10"/>
      <c r="G53" s="10"/>
      <c r="H53" s="10"/>
      <c r="I53" s="10"/>
      <c r="J53" s="14"/>
      <c r="K53" s="10"/>
      <c r="L53" s="14"/>
      <c r="M53" s="44" t="str">
        <f t="shared" ca="1" si="2"/>
        <v/>
      </c>
      <c r="N53" s="44" t="str">
        <f t="shared" ca="1" si="3"/>
        <v/>
      </c>
    </row>
    <row r="54" spans="1:14" x14ac:dyDescent="0.35">
      <c r="A54" s="10"/>
      <c r="B54" s="10"/>
      <c r="C54" s="43" t="str">
        <f>IF(B54="","",IFERROR(INDEX(Assessment!$E$5:$E$2000,MATCH(B54,Assessment!$A$5:$A$2000,0)),"Not found"))</f>
        <v/>
      </c>
      <c r="D54" s="43" t="str">
        <f>IF(B54="","",IFERROR(INDEX(Assessment!$B$5:$B$2000,MATCH(B54,Assessment!$A$5:$A$2000,0)),"Not found"))</f>
        <v/>
      </c>
      <c r="E54" s="10"/>
      <c r="F54" s="10"/>
      <c r="G54" s="10"/>
      <c r="H54" s="10"/>
      <c r="I54" s="10"/>
      <c r="J54" s="14"/>
      <c r="K54" s="10"/>
      <c r="L54" s="14"/>
      <c r="M54" s="44" t="str">
        <f t="shared" ca="1" si="2"/>
        <v/>
      </c>
      <c r="N54" s="44" t="str">
        <f t="shared" ca="1" si="3"/>
        <v/>
      </c>
    </row>
    <row r="55" spans="1:14" x14ac:dyDescent="0.35">
      <c r="A55" s="10"/>
      <c r="B55" s="10"/>
      <c r="C55" s="43" t="str">
        <f>IF(B55="","",IFERROR(INDEX(Assessment!$E$5:$E$2000,MATCH(B55,Assessment!$A$5:$A$2000,0)),"Not found"))</f>
        <v/>
      </c>
      <c r="D55" s="43" t="str">
        <f>IF(B55="","",IFERROR(INDEX(Assessment!$B$5:$B$2000,MATCH(B55,Assessment!$A$5:$A$2000,0)),"Not found"))</f>
        <v/>
      </c>
      <c r="E55" s="10"/>
      <c r="F55" s="10"/>
      <c r="G55" s="10"/>
      <c r="H55" s="10"/>
      <c r="I55" s="10"/>
      <c r="J55" s="14"/>
      <c r="K55" s="10"/>
      <c r="L55" s="14"/>
      <c r="M55" s="44" t="str">
        <f t="shared" ca="1" si="2"/>
        <v/>
      </c>
      <c r="N55" s="44" t="str">
        <f t="shared" ca="1" si="3"/>
        <v/>
      </c>
    </row>
    <row r="56" spans="1:14" x14ac:dyDescent="0.35">
      <c r="A56" s="10"/>
      <c r="B56" s="10"/>
      <c r="C56" s="43" t="str">
        <f>IF(B56="","",IFERROR(INDEX(Assessment!$E$5:$E$2000,MATCH(B56,Assessment!$A$5:$A$2000,0)),"Not found"))</f>
        <v/>
      </c>
      <c r="D56" s="43" t="str">
        <f>IF(B56="","",IFERROR(INDEX(Assessment!$B$5:$B$2000,MATCH(B56,Assessment!$A$5:$A$2000,0)),"Not found"))</f>
        <v/>
      </c>
      <c r="E56" s="10"/>
      <c r="F56" s="10"/>
      <c r="G56" s="10"/>
      <c r="H56" s="10"/>
      <c r="I56" s="10"/>
      <c r="J56" s="14"/>
      <c r="K56" s="10"/>
      <c r="L56" s="14"/>
      <c r="M56" s="44" t="str">
        <f t="shared" ca="1" si="2"/>
        <v/>
      </c>
      <c r="N56" s="44" t="str">
        <f t="shared" ca="1" si="3"/>
        <v/>
      </c>
    </row>
    <row r="57" spans="1:14" x14ac:dyDescent="0.35">
      <c r="A57" s="10"/>
      <c r="B57" s="10"/>
      <c r="C57" s="43" t="str">
        <f>IF(B57="","",IFERROR(INDEX(Assessment!$E$5:$E$2000,MATCH(B57,Assessment!$A$5:$A$2000,0)),"Not found"))</f>
        <v/>
      </c>
      <c r="D57" s="43" t="str">
        <f>IF(B57="","",IFERROR(INDEX(Assessment!$B$5:$B$2000,MATCH(B57,Assessment!$A$5:$A$2000,0)),"Not found"))</f>
        <v/>
      </c>
      <c r="E57" s="10"/>
      <c r="F57" s="10"/>
      <c r="G57" s="10"/>
      <c r="H57" s="10"/>
      <c r="I57" s="10"/>
      <c r="J57" s="14"/>
      <c r="K57" s="10"/>
      <c r="L57" s="14"/>
      <c r="M57" s="44" t="str">
        <f t="shared" ca="1" si="2"/>
        <v/>
      </c>
      <c r="N57" s="44" t="str">
        <f t="shared" ca="1" si="3"/>
        <v/>
      </c>
    </row>
    <row r="58" spans="1:14" x14ac:dyDescent="0.35">
      <c r="A58" s="10"/>
      <c r="B58" s="10"/>
      <c r="C58" s="43" t="str">
        <f>IF(B58="","",IFERROR(INDEX(Assessment!$E$5:$E$2000,MATCH(B58,Assessment!$A$5:$A$2000,0)),"Not found"))</f>
        <v/>
      </c>
      <c r="D58" s="43" t="str">
        <f>IF(B58="","",IFERROR(INDEX(Assessment!$B$5:$B$2000,MATCH(B58,Assessment!$A$5:$A$2000,0)),"Not found"))</f>
        <v/>
      </c>
      <c r="E58" s="10"/>
      <c r="F58" s="10"/>
      <c r="G58" s="10"/>
      <c r="H58" s="10"/>
      <c r="I58" s="10"/>
      <c r="J58" s="14"/>
      <c r="K58" s="10"/>
      <c r="L58" s="14"/>
      <c r="M58" s="44" t="str">
        <f t="shared" ca="1" si="2"/>
        <v/>
      </c>
      <c r="N58" s="44" t="str">
        <f t="shared" ca="1" si="3"/>
        <v/>
      </c>
    </row>
    <row r="59" spans="1:14" x14ac:dyDescent="0.35">
      <c r="A59" s="10"/>
      <c r="B59" s="10"/>
      <c r="C59" s="43" t="str">
        <f>IF(B59="","",IFERROR(INDEX(Assessment!$E$5:$E$2000,MATCH(B59,Assessment!$A$5:$A$2000,0)),"Not found"))</f>
        <v/>
      </c>
      <c r="D59" s="43" t="str">
        <f>IF(B59="","",IFERROR(INDEX(Assessment!$B$5:$B$2000,MATCH(B59,Assessment!$A$5:$A$2000,0)),"Not found"))</f>
        <v/>
      </c>
      <c r="E59" s="10"/>
      <c r="F59" s="10"/>
      <c r="G59" s="10"/>
      <c r="H59" s="10"/>
      <c r="I59" s="10"/>
      <c r="J59" s="14"/>
      <c r="K59" s="10"/>
      <c r="L59" s="14"/>
      <c r="M59" s="44" t="str">
        <f t="shared" ca="1" si="2"/>
        <v/>
      </c>
      <c r="N59" s="44" t="str">
        <f t="shared" ca="1" si="3"/>
        <v/>
      </c>
    </row>
    <row r="60" spans="1:14" x14ac:dyDescent="0.35">
      <c r="A60" s="10"/>
      <c r="B60" s="10"/>
      <c r="C60" s="43" t="str">
        <f>IF(B60="","",IFERROR(INDEX(Assessment!$E$5:$E$2000,MATCH(B60,Assessment!$A$5:$A$2000,0)),"Not found"))</f>
        <v/>
      </c>
      <c r="D60" s="43" t="str">
        <f>IF(B60="","",IFERROR(INDEX(Assessment!$B$5:$B$2000,MATCH(B60,Assessment!$A$5:$A$2000,0)),"Not found"))</f>
        <v/>
      </c>
      <c r="E60" s="10"/>
      <c r="F60" s="10"/>
      <c r="G60" s="10"/>
      <c r="H60" s="10"/>
      <c r="I60" s="10"/>
      <c r="J60" s="14"/>
      <c r="K60" s="10"/>
      <c r="L60" s="14"/>
      <c r="M60" s="44" t="str">
        <f t="shared" ca="1" si="2"/>
        <v/>
      </c>
      <c r="N60" s="44" t="str">
        <f t="shared" ca="1" si="3"/>
        <v/>
      </c>
    </row>
    <row r="61" spans="1:14" x14ac:dyDescent="0.35">
      <c r="A61" s="10"/>
      <c r="B61" s="10"/>
      <c r="C61" s="43" t="str">
        <f>IF(B61="","",IFERROR(INDEX(Assessment!$E$5:$E$2000,MATCH(B61,Assessment!$A$5:$A$2000,0)),"Not found"))</f>
        <v/>
      </c>
      <c r="D61" s="43" t="str">
        <f>IF(B61="","",IFERROR(INDEX(Assessment!$B$5:$B$2000,MATCH(B61,Assessment!$A$5:$A$2000,0)),"Not found"))</f>
        <v/>
      </c>
      <c r="E61" s="10"/>
      <c r="F61" s="10"/>
      <c r="G61" s="10"/>
      <c r="H61" s="10"/>
      <c r="I61" s="10"/>
      <c r="J61" s="14"/>
      <c r="K61" s="10"/>
      <c r="L61" s="14"/>
      <c r="M61" s="44" t="str">
        <f t="shared" ca="1" si="2"/>
        <v/>
      </c>
      <c r="N61" s="44" t="str">
        <f t="shared" ca="1" si="3"/>
        <v/>
      </c>
    </row>
    <row r="62" spans="1:14" x14ac:dyDescent="0.35">
      <c r="A62" s="10"/>
      <c r="B62" s="10"/>
      <c r="C62" s="43" t="str">
        <f>IF(B62="","",IFERROR(INDEX(Assessment!$E$5:$E$2000,MATCH(B62,Assessment!$A$5:$A$2000,0)),"Not found"))</f>
        <v/>
      </c>
      <c r="D62" s="43" t="str">
        <f>IF(B62="","",IFERROR(INDEX(Assessment!$B$5:$B$2000,MATCH(B62,Assessment!$A$5:$A$2000,0)),"Not found"))</f>
        <v/>
      </c>
      <c r="E62" s="10"/>
      <c r="F62" s="10"/>
      <c r="G62" s="10"/>
      <c r="H62" s="10"/>
      <c r="I62" s="10"/>
      <c r="J62" s="14"/>
      <c r="K62" s="10"/>
      <c r="L62" s="14"/>
      <c r="M62" s="44" t="str">
        <f t="shared" ca="1" si="2"/>
        <v/>
      </c>
      <c r="N62" s="44" t="str">
        <f t="shared" ca="1" si="3"/>
        <v/>
      </c>
    </row>
    <row r="63" spans="1:14" x14ac:dyDescent="0.35">
      <c r="A63" s="10"/>
      <c r="B63" s="10"/>
      <c r="C63" s="43" t="str">
        <f>IF(B63="","",IFERROR(INDEX(Assessment!$E$5:$E$2000,MATCH(B63,Assessment!$A$5:$A$2000,0)),"Not found"))</f>
        <v/>
      </c>
      <c r="D63" s="43" t="str">
        <f>IF(B63="","",IFERROR(INDEX(Assessment!$B$5:$B$2000,MATCH(B63,Assessment!$A$5:$A$2000,0)),"Not found"))</f>
        <v/>
      </c>
      <c r="E63" s="10"/>
      <c r="F63" s="10"/>
      <c r="G63" s="10"/>
      <c r="H63" s="10"/>
      <c r="I63" s="10"/>
      <c r="J63" s="14"/>
      <c r="K63" s="10"/>
      <c r="L63" s="14"/>
      <c r="M63" s="44" t="str">
        <f t="shared" ca="1" si="2"/>
        <v/>
      </c>
      <c r="N63" s="44" t="str">
        <f t="shared" ca="1" si="3"/>
        <v/>
      </c>
    </row>
    <row r="64" spans="1:14" x14ac:dyDescent="0.35">
      <c r="A64" s="10"/>
      <c r="B64" s="10"/>
      <c r="C64" s="43" t="str">
        <f>IF(B64="","",IFERROR(INDEX(Assessment!$E$5:$E$2000,MATCH(B64,Assessment!$A$5:$A$2000,0)),"Not found"))</f>
        <v/>
      </c>
      <c r="D64" s="43" t="str">
        <f>IF(B64="","",IFERROR(INDEX(Assessment!$B$5:$B$2000,MATCH(B64,Assessment!$A$5:$A$2000,0)),"Not found"))</f>
        <v/>
      </c>
      <c r="E64" s="10"/>
      <c r="F64" s="10"/>
      <c r="G64" s="10"/>
      <c r="H64" s="10"/>
      <c r="I64" s="10"/>
      <c r="J64" s="14"/>
      <c r="K64" s="10"/>
      <c r="L64" s="14"/>
      <c r="M64" s="44" t="str">
        <f t="shared" ca="1" si="2"/>
        <v/>
      </c>
      <c r="N64" s="44" t="str">
        <f t="shared" ca="1" si="3"/>
        <v/>
      </c>
    </row>
    <row r="65" spans="1:14" x14ac:dyDescent="0.35">
      <c r="A65" s="10"/>
      <c r="B65" s="10"/>
      <c r="C65" s="43" t="str">
        <f>IF(B65="","",IFERROR(INDEX(Assessment!$E$5:$E$2000,MATCH(B65,Assessment!$A$5:$A$2000,0)),"Not found"))</f>
        <v/>
      </c>
      <c r="D65" s="43" t="str">
        <f>IF(B65="","",IFERROR(INDEX(Assessment!$B$5:$B$2000,MATCH(B65,Assessment!$A$5:$A$2000,0)),"Not found"))</f>
        <v/>
      </c>
      <c r="E65" s="10"/>
      <c r="F65" s="10"/>
      <c r="G65" s="10"/>
      <c r="H65" s="10"/>
      <c r="I65" s="10"/>
      <c r="J65" s="14"/>
      <c r="K65" s="10"/>
      <c r="L65" s="14"/>
      <c r="M65" s="44" t="str">
        <f t="shared" ca="1" si="2"/>
        <v/>
      </c>
      <c r="N65" s="44" t="str">
        <f t="shared" ca="1" si="3"/>
        <v/>
      </c>
    </row>
    <row r="66" spans="1:14" x14ac:dyDescent="0.35">
      <c r="A66" s="10"/>
      <c r="B66" s="10"/>
      <c r="C66" s="43" t="str">
        <f>IF(B66="","",IFERROR(INDEX(Assessment!$E$5:$E$2000,MATCH(B66,Assessment!$A$5:$A$2000,0)),"Not found"))</f>
        <v/>
      </c>
      <c r="D66" s="43" t="str">
        <f>IF(B66="","",IFERROR(INDEX(Assessment!$B$5:$B$2000,MATCH(B66,Assessment!$A$5:$A$2000,0)),"Not found"))</f>
        <v/>
      </c>
      <c r="E66" s="10"/>
      <c r="F66" s="10"/>
      <c r="G66" s="10"/>
      <c r="H66" s="10"/>
      <c r="I66" s="10"/>
      <c r="J66" s="14"/>
      <c r="K66" s="10"/>
      <c r="L66" s="14"/>
      <c r="M66" s="44" t="str">
        <f t="shared" ca="1" si="2"/>
        <v/>
      </c>
      <c r="N66" s="44" t="str">
        <f t="shared" ca="1" si="3"/>
        <v/>
      </c>
    </row>
    <row r="67" spans="1:14" x14ac:dyDescent="0.35">
      <c r="A67" s="10"/>
      <c r="B67" s="10"/>
      <c r="C67" s="43" t="str">
        <f>IF(B67="","",IFERROR(INDEX(Assessment!$E$5:$E$2000,MATCH(B67,Assessment!$A$5:$A$2000,0)),"Not found"))</f>
        <v/>
      </c>
      <c r="D67" s="43" t="str">
        <f>IF(B67="","",IFERROR(INDEX(Assessment!$B$5:$B$2000,MATCH(B67,Assessment!$A$5:$A$2000,0)),"Not found"))</f>
        <v/>
      </c>
      <c r="E67" s="10"/>
      <c r="F67" s="10"/>
      <c r="G67" s="10"/>
      <c r="H67" s="10"/>
      <c r="I67" s="10"/>
      <c r="J67" s="14"/>
      <c r="K67" s="10"/>
      <c r="L67" s="14"/>
      <c r="M67" s="44" t="str">
        <f t="shared" ca="1" si="2"/>
        <v/>
      </c>
      <c r="N67" s="44" t="str">
        <f t="shared" ca="1" si="3"/>
        <v/>
      </c>
    </row>
    <row r="68" spans="1:14" x14ac:dyDescent="0.35">
      <c r="A68" s="10"/>
      <c r="B68" s="10"/>
      <c r="C68" s="43" t="str">
        <f>IF(B68="","",IFERROR(INDEX(Assessment!$E$5:$E$2000,MATCH(B68,Assessment!$A$5:$A$2000,0)),"Not found"))</f>
        <v/>
      </c>
      <c r="D68" s="43" t="str">
        <f>IF(B68="","",IFERROR(INDEX(Assessment!$B$5:$B$2000,MATCH(B68,Assessment!$A$5:$A$2000,0)),"Not found"))</f>
        <v/>
      </c>
      <c r="E68" s="10"/>
      <c r="F68" s="10"/>
      <c r="G68" s="10"/>
      <c r="H68" s="10"/>
      <c r="I68" s="10"/>
      <c r="J68" s="14"/>
      <c r="K68" s="10"/>
      <c r="L68" s="14"/>
      <c r="M68" s="44" t="str">
        <f t="shared" ca="1" si="2"/>
        <v/>
      </c>
      <c r="N68" s="44" t="str">
        <f t="shared" ca="1" si="3"/>
        <v/>
      </c>
    </row>
    <row r="69" spans="1:14" x14ac:dyDescent="0.35">
      <c r="A69" s="10"/>
      <c r="B69" s="10"/>
      <c r="C69" s="43" t="str">
        <f>IF(B69="","",IFERROR(INDEX(Assessment!$E$5:$E$2000,MATCH(B69,Assessment!$A$5:$A$2000,0)),"Not found"))</f>
        <v/>
      </c>
      <c r="D69" s="43" t="str">
        <f>IF(B69="","",IFERROR(INDEX(Assessment!$B$5:$B$2000,MATCH(B69,Assessment!$A$5:$A$2000,0)),"Not found"))</f>
        <v/>
      </c>
      <c r="E69" s="10"/>
      <c r="F69" s="10"/>
      <c r="G69" s="10"/>
      <c r="H69" s="10"/>
      <c r="I69" s="10"/>
      <c r="J69" s="14"/>
      <c r="K69" s="10"/>
      <c r="L69" s="14"/>
      <c r="M69" s="44" t="str">
        <f t="shared" ca="1" si="2"/>
        <v/>
      </c>
      <c r="N69" s="44" t="str">
        <f t="shared" ca="1" si="3"/>
        <v/>
      </c>
    </row>
    <row r="70" spans="1:14" x14ac:dyDescent="0.35">
      <c r="A70" s="10"/>
      <c r="B70" s="10"/>
      <c r="C70" s="43" t="str">
        <f>IF(B70="","",IFERROR(INDEX(Assessment!$E$5:$E$2000,MATCH(B70,Assessment!$A$5:$A$2000,0)),"Not found"))</f>
        <v/>
      </c>
      <c r="D70" s="43" t="str">
        <f>IF(B70="","",IFERROR(INDEX(Assessment!$B$5:$B$2000,MATCH(B70,Assessment!$A$5:$A$2000,0)),"Not found"))</f>
        <v/>
      </c>
      <c r="E70" s="10"/>
      <c r="F70" s="10"/>
      <c r="G70" s="10"/>
      <c r="H70" s="10"/>
      <c r="I70" s="10"/>
      <c r="J70" s="14"/>
      <c r="K70" s="10"/>
      <c r="L70" s="14"/>
      <c r="M70" s="44" t="str">
        <f t="shared" ref="M70:M101" ca="1" si="4">IF(OR(L70="",K70="Closed",K70="Risk Accepted"),"",TODAY()-L70)</f>
        <v/>
      </c>
      <c r="N70" s="44" t="str">
        <f t="shared" ref="N70:N101" ca="1" si="5">IF(OR(J70="",K70="Closed",K70="Risk Accepted",K70="Remediated"),"",IF(TODAY()&gt;J70,"Overdue",""))</f>
        <v/>
      </c>
    </row>
    <row r="71" spans="1:14" x14ac:dyDescent="0.35">
      <c r="A71" s="10"/>
      <c r="B71" s="10"/>
      <c r="C71" s="43" t="str">
        <f>IF(B71="","",IFERROR(INDEX(Assessment!$E$5:$E$2000,MATCH(B71,Assessment!$A$5:$A$2000,0)),"Not found"))</f>
        <v/>
      </c>
      <c r="D71" s="43" t="str">
        <f>IF(B71="","",IFERROR(INDEX(Assessment!$B$5:$B$2000,MATCH(B71,Assessment!$A$5:$A$2000,0)),"Not found"))</f>
        <v/>
      </c>
      <c r="E71" s="10"/>
      <c r="F71" s="10"/>
      <c r="G71" s="10"/>
      <c r="H71" s="10"/>
      <c r="I71" s="10"/>
      <c r="J71" s="14"/>
      <c r="K71" s="10"/>
      <c r="L71" s="14"/>
      <c r="M71" s="44" t="str">
        <f t="shared" ca="1" si="4"/>
        <v/>
      </c>
      <c r="N71" s="44" t="str">
        <f t="shared" ca="1" si="5"/>
        <v/>
      </c>
    </row>
    <row r="72" spans="1:14" x14ac:dyDescent="0.35">
      <c r="A72" s="10"/>
      <c r="B72" s="10"/>
      <c r="C72" s="43" t="str">
        <f>IF(B72="","",IFERROR(INDEX(Assessment!$E$5:$E$2000,MATCH(B72,Assessment!$A$5:$A$2000,0)),"Not found"))</f>
        <v/>
      </c>
      <c r="D72" s="43" t="str">
        <f>IF(B72="","",IFERROR(INDEX(Assessment!$B$5:$B$2000,MATCH(B72,Assessment!$A$5:$A$2000,0)),"Not found"))</f>
        <v/>
      </c>
      <c r="E72" s="10"/>
      <c r="F72" s="10"/>
      <c r="G72" s="10"/>
      <c r="H72" s="10"/>
      <c r="I72" s="10"/>
      <c r="J72" s="14"/>
      <c r="K72" s="10"/>
      <c r="L72" s="14"/>
      <c r="M72" s="44" t="str">
        <f t="shared" ca="1" si="4"/>
        <v/>
      </c>
      <c r="N72" s="44" t="str">
        <f t="shared" ca="1" si="5"/>
        <v/>
      </c>
    </row>
    <row r="73" spans="1:14" x14ac:dyDescent="0.35">
      <c r="A73" s="10"/>
      <c r="B73" s="10"/>
      <c r="C73" s="43" t="str">
        <f>IF(B73="","",IFERROR(INDEX(Assessment!$E$5:$E$2000,MATCH(B73,Assessment!$A$5:$A$2000,0)),"Not found"))</f>
        <v/>
      </c>
      <c r="D73" s="43" t="str">
        <f>IF(B73="","",IFERROR(INDEX(Assessment!$B$5:$B$2000,MATCH(B73,Assessment!$A$5:$A$2000,0)),"Not found"))</f>
        <v/>
      </c>
      <c r="E73" s="10"/>
      <c r="F73" s="10"/>
      <c r="G73" s="10"/>
      <c r="H73" s="10"/>
      <c r="I73" s="10"/>
      <c r="J73" s="14"/>
      <c r="K73" s="10"/>
      <c r="L73" s="14"/>
      <c r="M73" s="44" t="str">
        <f t="shared" ca="1" si="4"/>
        <v/>
      </c>
      <c r="N73" s="44" t="str">
        <f t="shared" ca="1" si="5"/>
        <v/>
      </c>
    </row>
    <row r="74" spans="1:14" x14ac:dyDescent="0.35">
      <c r="A74" s="10"/>
      <c r="B74" s="10"/>
      <c r="C74" s="43" t="str">
        <f>IF(B74="","",IFERROR(INDEX(Assessment!$E$5:$E$2000,MATCH(B74,Assessment!$A$5:$A$2000,0)),"Not found"))</f>
        <v/>
      </c>
      <c r="D74" s="43" t="str">
        <f>IF(B74="","",IFERROR(INDEX(Assessment!$B$5:$B$2000,MATCH(B74,Assessment!$A$5:$A$2000,0)),"Not found"))</f>
        <v/>
      </c>
      <c r="E74" s="10"/>
      <c r="F74" s="10"/>
      <c r="G74" s="10"/>
      <c r="H74" s="10"/>
      <c r="I74" s="10"/>
      <c r="J74" s="14"/>
      <c r="K74" s="10"/>
      <c r="L74" s="14"/>
      <c r="M74" s="44" t="str">
        <f t="shared" ca="1" si="4"/>
        <v/>
      </c>
      <c r="N74" s="44" t="str">
        <f t="shared" ca="1" si="5"/>
        <v/>
      </c>
    </row>
    <row r="75" spans="1:14" x14ac:dyDescent="0.35">
      <c r="A75" s="10"/>
      <c r="B75" s="10"/>
      <c r="C75" s="43" t="str">
        <f>IF(B75="","",IFERROR(INDEX(Assessment!$E$5:$E$2000,MATCH(B75,Assessment!$A$5:$A$2000,0)),"Not found"))</f>
        <v/>
      </c>
      <c r="D75" s="43" t="str">
        <f>IF(B75="","",IFERROR(INDEX(Assessment!$B$5:$B$2000,MATCH(B75,Assessment!$A$5:$A$2000,0)),"Not found"))</f>
        <v/>
      </c>
      <c r="E75" s="10"/>
      <c r="F75" s="10"/>
      <c r="G75" s="10"/>
      <c r="H75" s="10"/>
      <c r="I75" s="10"/>
      <c r="J75" s="14"/>
      <c r="K75" s="10"/>
      <c r="L75" s="14"/>
      <c r="M75" s="44" t="str">
        <f t="shared" ca="1" si="4"/>
        <v/>
      </c>
      <c r="N75" s="44" t="str">
        <f t="shared" ca="1" si="5"/>
        <v/>
      </c>
    </row>
    <row r="76" spans="1:14" x14ac:dyDescent="0.35">
      <c r="A76" s="10"/>
      <c r="B76" s="10"/>
      <c r="C76" s="43" t="str">
        <f>IF(B76="","",IFERROR(INDEX(Assessment!$E$5:$E$2000,MATCH(B76,Assessment!$A$5:$A$2000,0)),"Not found"))</f>
        <v/>
      </c>
      <c r="D76" s="43" t="str">
        <f>IF(B76="","",IFERROR(INDEX(Assessment!$B$5:$B$2000,MATCH(B76,Assessment!$A$5:$A$2000,0)),"Not found"))</f>
        <v/>
      </c>
      <c r="E76" s="10"/>
      <c r="F76" s="10"/>
      <c r="G76" s="10"/>
      <c r="H76" s="10"/>
      <c r="I76" s="10"/>
      <c r="J76" s="14"/>
      <c r="K76" s="10"/>
      <c r="L76" s="14"/>
      <c r="M76" s="44" t="str">
        <f t="shared" ca="1" si="4"/>
        <v/>
      </c>
      <c r="N76" s="44" t="str">
        <f t="shared" ca="1" si="5"/>
        <v/>
      </c>
    </row>
    <row r="77" spans="1:14" x14ac:dyDescent="0.35">
      <c r="A77" s="10"/>
      <c r="B77" s="10"/>
      <c r="C77" s="43" t="str">
        <f>IF(B77="","",IFERROR(INDEX(Assessment!$E$5:$E$2000,MATCH(B77,Assessment!$A$5:$A$2000,0)),"Not found"))</f>
        <v/>
      </c>
      <c r="D77" s="43" t="str">
        <f>IF(B77="","",IFERROR(INDEX(Assessment!$B$5:$B$2000,MATCH(B77,Assessment!$A$5:$A$2000,0)),"Not found"))</f>
        <v/>
      </c>
      <c r="E77" s="10"/>
      <c r="F77" s="10"/>
      <c r="G77" s="10"/>
      <c r="H77" s="10"/>
      <c r="I77" s="10"/>
      <c r="J77" s="14"/>
      <c r="K77" s="10"/>
      <c r="L77" s="14"/>
      <c r="M77" s="44" t="str">
        <f t="shared" ca="1" si="4"/>
        <v/>
      </c>
      <c r="N77" s="44" t="str">
        <f t="shared" ca="1" si="5"/>
        <v/>
      </c>
    </row>
    <row r="78" spans="1:14" x14ac:dyDescent="0.35">
      <c r="A78" s="10"/>
      <c r="B78" s="10"/>
      <c r="C78" s="43" t="str">
        <f>IF(B78="","",IFERROR(INDEX(Assessment!$E$5:$E$2000,MATCH(B78,Assessment!$A$5:$A$2000,0)),"Not found"))</f>
        <v/>
      </c>
      <c r="D78" s="43" t="str">
        <f>IF(B78="","",IFERROR(INDEX(Assessment!$B$5:$B$2000,MATCH(B78,Assessment!$A$5:$A$2000,0)),"Not found"))</f>
        <v/>
      </c>
      <c r="E78" s="10"/>
      <c r="F78" s="10"/>
      <c r="G78" s="10"/>
      <c r="H78" s="10"/>
      <c r="I78" s="10"/>
      <c r="J78" s="14"/>
      <c r="K78" s="10"/>
      <c r="L78" s="14"/>
      <c r="M78" s="44" t="str">
        <f t="shared" ca="1" si="4"/>
        <v/>
      </c>
      <c r="N78" s="44" t="str">
        <f t="shared" ca="1" si="5"/>
        <v/>
      </c>
    </row>
    <row r="79" spans="1:14" x14ac:dyDescent="0.35">
      <c r="A79" s="10"/>
      <c r="B79" s="10"/>
      <c r="C79" s="43" t="str">
        <f>IF(B79="","",IFERROR(INDEX(Assessment!$E$5:$E$2000,MATCH(B79,Assessment!$A$5:$A$2000,0)),"Not found"))</f>
        <v/>
      </c>
      <c r="D79" s="43" t="str">
        <f>IF(B79="","",IFERROR(INDEX(Assessment!$B$5:$B$2000,MATCH(B79,Assessment!$A$5:$A$2000,0)),"Not found"))</f>
        <v/>
      </c>
      <c r="E79" s="10"/>
      <c r="F79" s="10"/>
      <c r="G79" s="10"/>
      <c r="H79" s="10"/>
      <c r="I79" s="10"/>
      <c r="J79" s="14"/>
      <c r="K79" s="10"/>
      <c r="L79" s="14"/>
      <c r="M79" s="44" t="str">
        <f t="shared" ca="1" si="4"/>
        <v/>
      </c>
      <c r="N79" s="44" t="str">
        <f t="shared" ca="1" si="5"/>
        <v/>
      </c>
    </row>
    <row r="80" spans="1:14" x14ac:dyDescent="0.35">
      <c r="A80" s="10"/>
      <c r="B80" s="10"/>
      <c r="C80" s="43" t="str">
        <f>IF(B80="","",IFERROR(INDEX(Assessment!$E$5:$E$2000,MATCH(B80,Assessment!$A$5:$A$2000,0)),"Not found"))</f>
        <v/>
      </c>
      <c r="D80" s="43" t="str">
        <f>IF(B80="","",IFERROR(INDEX(Assessment!$B$5:$B$2000,MATCH(B80,Assessment!$A$5:$A$2000,0)),"Not found"))</f>
        <v/>
      </c>
      <c r="E80" s="10"/>
      <c r="F80" s="10"/>
      <c r="G80" s="10"/>
      <c r="H80" s="10"/>
      <c r="I80" s="10"/>
      <c r="J80" s="14"/>
      <c r="K80" s="10"/>
      <c r="L80" s="14"/>
      <c r="M80" s="44" t="str">
        <f t="shared" ca="1" si="4"/>
        <v/>
      </c>
      <c r="N80" s="44" t="str">
        <f t="shared" ca="1" si="5"/>
        <v/>
      </c>
    </row>
    <row r="81" spans="1:14" x14ac:dyDescent="0.35">
      <c r="A81" s="10"/>
      <c r="B81" s="10"/>
      <c r="C81" s="43" t="str">
        <f>IF(B81="","",IFERROR(INDEX(Assessment!$E$5:$E$2000,MATCH(B81,Assessment!$A$5:$A$2000,0)),"Not found"))</f>
        <v/>
      </c>
      <c r="D81" s="43" t="str">
        <f>IF(B81="","",IFERROR(INDEX(Assessment!$B$5:$B$2000,MATCH(B81,Assessment!$A$5:$A$2000,0)),"Not found"))</f>
        <v/>
      </c>
      <c r="E81" s="10"/>
      <c r="F81" s="10"/>
      <c r="G81" s="10"/>
      <c r="H81" s="10"/>
      <c r="I81" s="10"/>
      <c r="J81" s="14"/>
      <c r="K81" s="10"/>
      <c r="L81" s="14"/>
      <c r="M81" s="44" t="str">
        <f t="shared" ca="1" si="4"/>
        <v/>
      </c>
      <c r="N81" s="44" t="str">
        <f t="shared" ca="1" si="5"/>
        <v/>
      </c>
    </row>
    <row r="82" spans="1:14" x14ac:dyDescent="0.35">
      <c r="A82" s="10"/>
      <c r="B82" s="10"/>
      <c r="C82" s="43" t="str">
        <f>IF(B82="","",IFERROR(INDEX(Assessment!$E$5:$E$2000,MATCH(B82,Assessment!$A$5:$A$2000,0)),"Not found"))</f>
        <v/>
      </c>
      <c r="D82" s="43" t="str">
        <f>IF(B82="","",IFERROR(INDEX(Assessment!$B$5:$B$2000,MATCH(B82,Assessment!$A$5:$A$2000,0)),"Not found"))</f>
        <v/>
      </c>
      <c r="E82" s="10"/>
      <c r="F82" s="10"/>
      <c r="G82" s="10"/>
      <c r="H82" s="10"/>
      <c r="I82" s="10"/>
      <c r="J82" s="14"/>
      <c r="K82" s="10"/>
      <c r="L82" s="14"/>
      <c r="M82" s="44" t="str">
        <f t="shared" ca="1" si="4"/>
        <v/>
      </c>
      <c r="N82" s="44" t="str">
        <f t="shared" ca="1" si="5"/>
        <v/>
      </c>
    </row>
    <row r="83" spans="1:14" x14ac:dyDescent="0.35">
      <c r="A83" s="10"/>
      <c r="B83" s="10"/>
      <c r="C83" s="43" t="str">
        <f>IF(B83="","",IFERROR(INDEX(Assessment!$E$5:$E$2000,MATCH(B83,Assessment!$A$5:$A$2000,0)),"Not found"))</f>
        <v/>
      </c>
      <c r="D83" s="43" t="str">
        <f>IF(B83="","",IFERROR(INDEX(Assessment!$B$5:$B$2000,MATCH(B83,Assessment!$A$5:$A$2000,0)),"Not found"))</f>
        <v/>
      </c>
      <c r="E83" s="10"/>
      <c r="F83" s="10"/>
      <c r="G83" s="10"/>
      <c r="H83" s="10"/>
      <c r="I83" s="10"/>
      <c r="J83" s="14"/>
      <c r="K83" s="10"/>
      <c r="L83" s="14"/>
      <c r="M83" s="44" t="str">
        <f t="shared" ca="1" si="4"/>
        <v/>
      </c>
      <c r="N83" s="44" t="str">
        <f t="shared" ca="1" si="5"/>
        <v/>
      </c>
    </row>
    <row r="84" spans="1:14" x14ac:dyDescent="0.35">
      <c r="A84" s="10"/>
      <c r="B84" s="10"/>
      <c r="C84" s="43" t="str">
        <f>IF(B84="","",IFERROR(INDEX(Assessment!$E$5:$E$2000,MATCH(B84,Assessment!$A$5:$A$2000,0)),"Not found"))</f>
        <v/>
      </c>
      <c r="D84" s="43" t="str">
        <f>IF(B84="","",IFERROR(INDEX(Assessment!$B$5:$B$2000,MATCH(B84,Assessment!$A$5:$A$2000,0)),"Not found"))</f>
        <v/>
      </c>
      <c r="E84" s="10"/>
      <c r="F84" s="10"/>
      <c r="G84" s="10"/>
      <c r="H84" s="10"/>
      <c r="I84" s="10"/>
      <c r="J84" s="14"/>
      <c r="K84" s="10"/>
      <c r="L84" s="14"/>
      <c r="M84" s="44" t="str">
        <f t="shared" ca="1" si="4"/>
        <v/>
      </c>
      <c r="N84" s="44" t="str">
        <f t="shared" ca="1" si="5"/>
        <v/>
      </c>
    </row>
    <row r="85" spans="1:14" x14ac:dyDescent="0.35">
      <c r="A85" s="10"/>
      <c r="B85" s="10"/>
      <c r="C85" s="43" t="str">
        <f>IF(B85="","",IFERROR(INDEX(Assessment!$E$5:$E$2000,MATCH(B85,Assessment!$A$5:$A$2000,0)),"Not found"))</f>
        <v/>
      </c>
      <c r="D85" s="43" t="str">
        <f>IF(B85="","",IFERROR(INDEX(Assessment!$B$5:$B$2000,MATCH(B85,Assessment!$A$5:$A$2000,0)),"Not found"))</f>
        <v/>
      </c>
      <c r="E85" s="10"/>
      <c r="F85" s="10"/>
      <c r="G85" s="10"/>
      <c r="H85" s="10"/>
      <c r="I85" s="10"/>
      <c r="J85" s="14"/>
      <c r="K85" s="10"/>
      <c r="L85" s="14"/>
      <c r="M85" s="44" t="str">
        <f t="shared" ca="1" si="4"/>
        <v/>
      </c>
      <c r="N85" s="44" t="str">
        <f t="shared" ca="1" si="5"/>
        <v/>
      </c>
    </row>
    <row r="86" spans="1:14" x14ac:dyDescent="0.35">
      <c r="A86" s="10"/>
      <c r="B86" s="10"/>
      <c r="C86" s="43" t="str">
        <f>IF(B86="","",IFERROR(INDEX(Assessment!$E$5:$E$2000,MATCH(B86,Assessment!$A$5:$A$2000,0)),"Not found"))</f>
        <v/>
      </c>
      <c r="D86" s="43" t="str">
        <f>IF(B86="","",IFERROR(INDEX(Assessment!$B$5:$B$2000,MATCH(B86,Assessment!$A$5:$A$2000,0)),"Not found"))</f>
        <v/>
      </c>
      <c r="E86" s="10"/>
      <c r="F86" s="10"/>
      <c r="G86" s="10"/>
      <c r="H86" s="10"/>
      <c r="I86" s="10"/>
      <c r="J86" s="14"/>
      <c r="K86" s="10"/>
      <c r="L86" s="14"/>
      <c r="M86" s="44" t="str">
        <f t="shared" ca="1" si="4"/>
        <v/>
      </c>
      <c r="N86" s="44" t="str">
        <f t="shared" ca="1" si="5"/>
        <v/>
      </c>
    </row>
    <row r="87" spans="1:14" x14ac:dyDescent="0.35">
      <c r="A87" s="10"/>
      <c r="B87" s="10"/>
      <c r="C87" s="43" t="str">
        <f>IF(B87="","",IFERROR(INDEX(Assessment!$E$5:$E$2000,MATCH(B87,Assessment!$A$5:$A$2000,0)),"Not found"))</f>
        <v/>
      </c>
      <c r="D87" s="43" t="str">
        <f>IF(B87="","",IFERROR(INDEX(Assessment!$B$5:$B$2000,MATCH(B87,Assessment!$A$5:$A$2000,0)),"Not found"))</f>
        <v/>
      </c>
      <c r="E87" s="10"/>
      <c r="F87" s="10"/>
      <c r="G87" s="10"/>
      <c r="H87" s="10"/>
      <c r="I87" s="10"/>
      <c r="J87" s="14"/>
      <c r="K87" s="10"/>
      <c r="L87" s="14"/>
      <c r="M87" s="44" t="str">
        <f t="shared" ca="1" si="4"/>
        <v/>
      </c>
      <c r="N87" s="44" t="str">
        <f t="shared" ca="1" si="5"/>
        <v/>
      </c>
    </row>
    <row r="88" spans="1:14" x14ac:dyDescent="0.35">
      <c r="A88" s="10"/>
      <c r="B88" s="10"/>
      <c r="C88" s="43" t="str">
        <f>IF(B88="","",IFERROR(INDEX(Assessment!$E$5:$E$2000,MATCH(B88,Assessment!$A$5:$A$2000,0)),"Not found"))</f>
        <v/>
      </c>
      <c r="D88" s="43" t="str">
        <f>IF(B88="","",IFERROR(INDEX(Assessment!$B$5:$B$2000,MATCH(B88,Assessment!$A$5:$A$2000,0)),"Not found"))</f>
        <v/>
      </c>
      <c r="E88" s="10"/>
      <c r="F88" s="10"/>
      <c r="G88" s="10"/>
      <c r="H88" s="10"/>
      <c r="I88" s="10"/>
      <c r="J88" s="14"/>
      <c r="K88" s="10"/>
      <c r="L88" s="14"/>
      <c r="M88" s="44" t="str">
        <f t="shared" ca="1" si="4"/>
        <v/>
      </c>
      <c r="N88" s="44" t="str">
        <f t="shared" ca="1" si="5"/>
        <v/>
      </c>
    </row>
    <row r="89" spans="1:14" x14ac:dyDescent="0.35">
      <c r="A89" s="10"/>
      <c r="B89" s="10"/>
      <c r="C89" s="43" t="str">
        <f>IF(B89="","",IFERROR(INDEX(Assessment!$E$5:$E$2000,MATCH(B89,Assessment!$A$5:$A$2000,0)),"Not found"))</f>
        <v/>
      </c>
      <c r="D89" s="43" t="str">
        <f>IF(B89="","",IFERROR(INDEX(Assessment!$B$5:$B$2000,MATCH(B89,Assessment!$A$5:$A$2000,0)),"Not found"))</f>
        <v/>
      </c>
      <c r="E89" s="10"/>
      <c r="F89" s="10"/>
      <c r="G89" s="10"/>
      <c r="H89" s="10"/>
      <c r="I89" s="10"/>
      <c r="J89" s="14"/>
      <c r="K89" s="10"/>
      <c r="L89" s="14"/>
      <c r="M89" s="44" t="str">
        <f t="shared" ca="1" si="4"/>
        <v/>
      </c>
      <c r="N89" s="44" t="str">
        <f t="shared" ca="1" si="5"/>
        <v/>
      </c>
    </row>
    <row r="90" spans="1:14" x14ac:dyDescent="0.35">
      <c r="A90" s="10"/>
      <c r="B90" s="10"/>
      <c r="C90" s="43" t="str">
        <f>IF(B90="","",IFERROR(INDEX(Assessment!$E$5:$E$2000,MATCH(B90,Assessment!$A$5:$A$2000,0)),"Not found"))</f>
        <v/>
      </c>
      <c r="D90" s="43" t="str">
        <f>IF(B90="","",IFERROR(INDEX(Assessment!$B$5:$B$2000,MATCH(B90,Assessment!$A$5:$A$2000,0)),"Not found"))</f>
        <v/>
      </c>
      <c r="E90" s="10"/>
      <c r="F90" s="10"/>
      <c r="G90" s="10"/>
      <c r="H90" s="10"/>
      <c r="I90" s="10"/>
      <c r="J90" s="14"/>
      <c r="K90" s="10"/>
      <c r="L90" s="14"/>
      <c r="M90" s="44" t="str">
        <f t="shared" ca="1" si="4"/>
        <v/>
      </c>
      <c r="N90" s="44" t="str">
        <f t="shared" ca="1" si="5"/>
        <v/>
      </c>
    </row>
    <row r="91" spans="1:14" x14ac:dyDescent="0.35">
      <c r="A91" s="10"/>
      <c r="B91" s="10"/>
      <c r="C91" s="43" t="str">
        <f>IF(B91="","",IFERROR(INDEX(Assessment!$E$5:$E$2000,MATCH(B91,Assessment!$A$5:$A$2000,0)),"Not found"))</f>
        <v/>
      </c>
      <c r="D91" s="43" t="str">
        <f>IF(B91="","",IFERROR(INDEX(Assessment!$B$5:$B$2000,MATCH(B91,Assessment!$A$5:$A$2000,0)),"Not found"))</f>
        <v/>
      </c>
      <c r="E91" s="10"/>
      <c r="F91" s="10"/>
      <c r="G91" s="10"/>
      <c r="H91" s="10"/>
      <c r="I91" s="10"/>
      <c r="J91" s="14"/>
      <c r="K91" s="10"/>
      <c r="L91" s="14"/>
      <c r="M91" s="44" t="str">
        <f t="shared" ca="1" si="4"/>
        <v/>
      </c>
      <c r="N91" s="44" t="str">
        <f t="shared" ca="1" si="5"/>
        <v/>
      </c>
    </row>
    <row r="92" spans="1:14" x14ac:dyDescent="0.35">
      <c r="A92" s="10"/>
      <c r="B92" s="10"/>
      <c r="C92" s="43" t="str">
        <f>IF(B92="","",IFERROR(INDEX(Assessment!$E$5:$E$2000,MATCH(B92,Assessment!$A$5:$A$2000,0)),"Not found"))</f>
        <v/>
      </c>
      <c r="D92" s="43" t="str">
        <f>IF(B92="","",IFERROR(INDEX(Assessment!$B$5:$B$2000,MATCH(B92,Assessment!$A$5:$A$2000,0)),"Not found"))</f>
        <v/>
      </c>
      <c r="E92" s="10"/>
      <c r="F92" s="10"/>
      <c r="G92" s="10"/>
      <c r="H92" s="10"/>
      <c r="I92" s="10"/>
      <c r="J92" s="14"/>
      <c r="K92" s="10"/>
      <c r="L92" s="14"/>
      <c r="M92" s="44" t="str">
        <f t="shared" ca="1" si="4"/>
        <v/>
      </c>
      <c r="N92" s="44" t="str">
        <f t="shared" ca="1" si="5"/>
        <v/>
      </c>
    </row>
    <row r="93" spans="1:14" x14ac:dyDescent="0.35">
      <c r="A93" s="10"/>
      <c r="B93" s="10"/>
      <c r="C93" s="43" t="str">
        <f>IF(B93="","",IFERROR(INDEX(Assessment!$E$5:$E$2000,MATCH(B93,Assessment!$A$5:$A$2000,0)),"Not found"))</f>
        <v/>
      </c>
      <c r="D93" s="43" t="str">
        <f>IF(B93="","",IFERROR(INDEX(Assessment!$B$5:$B$2000,MATCH(B93,Assessment!$A$5:$A$2000,0)),"Not found"))</f>
        <v/>
      </c>
      <c r="E93" s="10"/>
      <c r="F93" s="10"/>
      <c r="G93" s="10"/>
      <c r="H93" s="10"/>
      <c r="I93" s="10"/>
      <c r="J93" s="14"/>
      <c r="K93" s="10"/>
      <c r="L93" s="14"/>
      <c r="M93" s="44" t="str">
        <f t="shared" ca="1" si="4"/>
        <v/>
      </c>
      <c r="N93" s="44" t="str">
        <f t="shared" ca="1" si="5"/>
        <v/>
      </c>
    </row>
    <row r="94" spans="1:14" x14ac:dyDescent="0.35">
      <c r="A94" s="10"/>
      <c r="B94" s="10"/>
      <c r="C94" s="43" t="str">
        <f>IF(B94="","",IFERROR(INDEX(Assessment!$E$5:$E$2000,MATCH(B94,Assessment!$A$5:$A$2000,0)),"Not found"))</f>
        <v/>
      </c>
      <c r="D94" s="43" t="str">
        <f>IF(B94="","",IFERROR(INDEX(Assessment!$B$5:$B$2000,MATCH(B94,Assessment!$A$5:$A$2000,0)),"Not found"))</f>
        <v/>
      </c>
      <c r="E94" s="10"/>
      <c r="F94" s="10"/>
      <c r="G94" s="10"/>
      <c r="H94" s="10"/>
      <c r="I94" s="10"/>
      <c r="J94" s="14"/>
      <c r="K94" s="10"/>
      <c r="L94" s="14"/>
      <c r="M94" s="44" t="str">
        <f t="shared" ca="1" si="4"/>
        <v/>
      </c>
      <c r="N94" s="44" t="str">
        <f t="shared" ca="1" si="5"/>
        <v/>
      </c>
    </row>
    <row r="95" spans="1:14" x14ac:dyDescent="0.35">
      <c r="A95" s="10"/>
      <c r="B95" s="10"/>
      <c r="C95" s="43" t="str">
        <f>IF(B95="","",IFERROR(INDEX(Assessment!$E$5:$E$2000,MATCH(B95,Assessment!$A$5:$A$2000,0)),"Not found"))</f>
        <v/>
      </c>
      <c r="D95" s="43" t="str">
        <f>IF(B95="","",IFERROR(INDEX(Assessment!$B$5:$B$2000,MATCH(B95,Assessment!$A$5:$A$2000,0)),"Not found"))</f>
        <v/>
      </c>
      <c r="E95" s="10"/>
      <c r="F95" s="10"/>
      <c r="G95" s="10"/>
      <c r="H95" s="10"/>
      <c r="I95" s="10"/>
      <c r="J95" s="14"/>
      <c r="K95" s="10"/>
      <c r="L95" s="14"/>
      <c r="M95" s="44" t="str">
        <f t="shared" ca="1" si="4"/>
        <v/>
      </c>
      <c r="N95" s="44" t="str">
        <f t="shared" ca="1" si="5"/>
        <v/>
      </c>
    </row>
    <row r="96" spans="1:14" x14ac:dyDescent="0.35">
      <c r="A96" s="10"/>
      <c r="B96" s="10"/>
      <c r="C96" s="43" t="str">
        <f>IF(B96="","",IFERROR(INDEX(Assessment!$E$5:$E$2000,MATCH(B96,Assessment!$A$5:$A$2000,0)),"Not found"))</f>
        <v/>
      </c>
      <c r="D96" s="43" t="str">
        <f>IF(B96="","",IFERROR(INDEX(Assessment!$B$5:$B$2000,MATCH(B96,Assessment!$A$5:$A$2000,0)),"Not found"))</f>
        <v/>
      </c>
      <c r="E96" s="10"/>
      <c r="F96" s="10"/>
      <c r="G96" s="10"/>
      <c r="H96" s="10"/>
      <c r="I96" s="10"/>
      <c r="J96" s="14"/>
      <c r="K96" s="10"/>
      <c r="L96" s="14"/>
      <c r="M96" s="44" t="str">
        <f t="shared" ca="1" si="4"/>
        <v/>
      </c>
      <c r="N96" s="44" t="str">
        <f t="shared" ca="1" si="5"/>
        <v/>
      </c>
    </row>
    <row r="97" spans="1:14" x14ac:dyDescent="0.35">
      <c r="A97" s="10"/>
      <c r="B97" s="10"/>
      <c r="C97" s="43" t="str">
        <f>IF(B97="","",IFERROR(INDEX(Assessment!$E$5:$E$2000,MATCH(B97,Assessment!$A$5:$A$2000,0)),"Not found"))</f>
        <v/>
      </c>
      <c r="D97" s="43" t="str">
        <f>IF(B97="","",IFERROR(INDEX(Assessment!$B$5:$B$2000,MATCH(B97,Assessment!$A$5:$A$2000,0)),"Not found"))</f>
        <v/>
      </c>
      <c r="E97" s="10"/>
      <c r="F97" s="10"/>
      <c r="G97" s="10"/>
      <c r="H97" s="10"/>
      <c r="I97" s="10"/>
      <c r="J97" s="14"/>
      <c r="K97" s="10"/>
      <c r="L97" s="14"/>
      <c r="M97" s="44" t="str">
        <f t="shared" ca="1" si="4"/>
        <v/>
      </c>
      <c r="N97" s="44" t="str">
        <f t="shared" ca="1" si="5"/>
        <v/>
      </c>
    </row>
    <row r="98" spans="1:14" x14ac:dyDescent="0.35">
      <c r="A98" s="10"/>
      <c r="B98" s="10"/>
      <c r="C98" s="43" t="str">
        <f>IF(B98="","",IFERROR(INDEX(Assessment!$E$5:$E$2000,MATCH(B98,Assessment!$A$5:$A$2000,0)),"Not found"))</f>
        <v/>
      </c>
      <c r="D98" s="43" t="str">
        <f>IF(B98="","",IFERROR(INDEX(Assessment!$B$5:$B$2000,MATCH(B98,Assessment!$A$5:$A$2000,0)),"Not found"))</f>
        <v/>
      </c>
      <c r="E98" s="10"/>
      <c r="F98" s="10"/>
      <c r="G98" s="10"/>
      <c r="H98" s="10"/>
      <c r="I98" s="10"/>
      <c r="J98" s="14"/>
      <c r="K98" s="10"/>
      <c r="L98" s="14"/>
      <c r="M98" s="44" t="str">
        <f t="shared" ca="1" si="4"/>
        <v/>
      </c>
      <c r="N98" s="44" t="str">
        <f t="shared" ca="1" si="5"/>
        <v/>
      </c>
    </row>
    <row r="99" spans="1:14" x14ac:dyDescent="0.35">
      <c r="A99" s="10"/>
      <c r="B99" s="10"/>
      <c r="C99" s="43" t="str">
        <f>IF(B99="","",IFERROR(INDEX(Assessment!$E$5:$E$2000,MATCH(B99,Assessment!$A$5:$A$2000,0)),"Not found"))</f>
        <v/>
      </c>
      <c r="D99" s="43" t="str">
        <f>IF(B99="","",IFERROR(INDEX(Assessment!$B$5:$B$2000,MATCH(B99,Assessment!$A$5:$A$2000,0)),"Not found"))</f>
        <v/>
      </c>
      <c r="E99" s="10"/>
      <c r="F99" s="10"/>
      <c r="G99" s="10"/>
      <c r="H99" s="10"/>
      <c r="I99" s="10"/>
      <c r="J99" s="14"/>
      <c r="K99" s="10"/>
      <c r="L99" s="14"/>
      <c r="M99" s="44" t="str">
        <f t="shared" ca="1" si="4"/>
        <v/>
      </c>
      <c r="N99" s="44" t="str">
        <f t="shared" ca="1" si="5"/>
        <v/>
      </c>
    </row>
    <row r="100" spans="1:14" x14ac:dyDescent="0.35">
      <c r="A100" s="10"/>
      <c r="B100" s="10"/>
      <c r="C100" s="43" t="str">
        <f>IF(B100="","",IFERROR(INDEX(Assessment!$E$5:$E$2000,MATCH(B100,Assessment!$A$5:$A$2000,0)),"Not found"))</f>
        <v/>
      </c>
      <c r="D100" s="43" t="str">
        <f>IF(B100="","",IFERROR(INDEX(Assessment!$B$5:$B$2000,MATCH(B100,Assessment!$A$5:$A$2000,0)),"Not found"))</f>
        <v/>
      </c>
      <c r="E100" s="10"/>
      <c r="F100" s="10"/>
      <c r="G100" s="10"/>
      <c r="H100" s="10"/>
      <c r="I100" s="10"/>
      <c r="J100" s="14"/>
      <c r="K100" s="10"/>
      <c r="L100" s="14"/>
      <c r="M100" s="44" t="str">
        <f t="shared" ca="1" si="4"/>
        <v/>
      </c>
      <c r="N100" s="44" t="str">
        <f t="shared" ca="1" si="5"/>
        <v/>
      </c>
    </row>
    <row r="101" spans="1:14" x14ac:dyDescent="0.35">
      <c r="A101" s="10"/>
      <c r="B101" s="10"/>
      <c r="C101" s="43" t="str">
        <f>IF(B101="","",IFERROR(INDEX(Assessment!$E$5:$E$2000,MATCH(B101,Assessment!$A$5:$A$2000,0)),"Not found"))</f>
        <v/>
      </c>
      <c r="D101" s="43" t="str">
        <f>IF(B101="","",IFERROR(INDEX(Assessment!$B$5:$B$2000,MATCH(B101,Assessment!$A$5:$A$2000,0)),"Not found"))</f>
        <v/>
      </c>
      <c r="E101" s="10"/>
      <c r="F101" s="10"/>
      <c r="G101" s="10"/>
      <c r="H101" s="10"/>
      <c r="I101" s="10"/>
      <c r="J101" s="14"/>
      <c r="K101" s="10"/>
      <c r="L101" s="14"/>
      <c r="M101" s="44" t="str">
        <f t="shared" ca="1" si="4"/>
        <v/>
      </c>
      <c r="N101" s="44" t="str">
        <f t="shared" ca="1" si="5"/>
        <v/>
      </c>
    </row>
    <row r="102" spans="1:14" x14ac:dyDescent="0.35">
      <c r="A102" s="10"/>
      <c r="B102" s="10"/>
      <c r="C102" s="43" t="str">
        <f>IF(B102="","",IFERROR(INDEX(Assessment!$E$5:$E$2000,MATCH(B102,Assessment!$A$5:$A$2000,0)),"Not found"))</f>
        <v/>
      </c>
      <c r="D102" s="43" t="str">
        <f>IF(B102="","",IFERROR(INDEX(Assessment!$B$5:$B$2000,MATCH(B102,Assessment!$A$5:$A$2000,0)),"Not found"))</f>
        <v/>
      </c>
      <c r="E102" s="10"/>
      <c r="F102" s="10"/>
      <c r="G102" s="10"/>
      <c r="H102" s="10"/>
      <c r="I102" s="10"/>
      <c r="J102" s="14"/>
      <c r="K102" s="10"/>
      <c r="L102" s="14"/>
      <c r="M102" s="44" t="str">
        <f t="shared" ref="M102:M133" ca="1" si="6">IF(OR(L102="",K102="Closed",K102="Risk Accepted"),"",TODAY()-L102)</f>
        <v/>
      </c>
      <c r="N102" s="44" t="str">
        <f t="shared" ref="N102:N133" ca="1" si="7">IF(OR(J102="",K102="Closed",K102="Risk Accepted",K102="Remediated"),"",IF(TODAY()&gt;J102,"Overdue",""))</f>
        <v/>
      </c>
    </row>
    <row r="103" spans="1:14" x14ac:dyDescent="0.35">
      <c r="A103" s="10"/>
      <c r="B103" s="10"/>
      <c r="C103" s="43" t="str">
        <f>IF(B103="","",IFERROR(INDEX(Assessment!$E$5:$E$2000,MATCH(B103,Assessment!$A$5:$A$2000,0)),"Not found"))</f>
        <v/>
      </c>
      <c r="D103" s="43" t="str">
        <f>IF(B103="","",IFERROR(INDEX(Assessment!$B$5:$B$2000,MATCH(B103,Assessment!$A$5:$A$2000,0)),"Not found"))</f>
        <v/>
      </c>
      <c r="E103" s="10"/>
      <c r="F103" s="10"/>
      <c r="G103" s="10"/>
      <c r="H103" s="10"/>
      <c r="I103" s="10"/>
      <c r="J103" s="14"/>
      <c r="K103" s="10"/>
      <c r="L103" s="14"/>
      <c r="M103" s="44" t="str">
        <f t="shared" ca="1" si="6"/>
        <v/>
      </c>
      <c r="N103" s="44" t="str">
        <f t="shared" ca="1" si="7"/>
        <v/>
      </c>
    </row>
    <row r="104" spans="1:14" x14ac:dyDescent="0.35">
      <c r="A104" s="10"/>
      <c r="B104" s="10"/>
      <c r="C104" s="43" t="str">
        <f>IF(B104="","",IFERROR(INDEX(Assessment!$E$5:$E$2000,MATCH(B104,Assessment!$A$5:$A$2000,0)),"Not found"))</f>
        <v/>
      </c>
      <c r="D104" s="43" t="str">
        <f>IF(B104="","",IFERROR(INDEX(Assessment!$B$5:$B$2000,MATCH(B104,Assessment!$A$5:$A$2000,0)),"Not found"))</f>
        <v/>
      </c>
      <c r="E104" s="10"/>
      <c r="F104" s="10"/>
      <c r="G104" s="10"/>
      <c r="H104" s="10"/>
      <c r="I104" s="10"/>
      <c r="J104" s="14"/>
      <c r="K104" s="10"/>
      <c r="L104" s="14"/>
      <c r="M104" s="44" t="str">
        <f t="shared" ca="1" si="6"/>
        <v/>
      </c>
      <c r="N104" s="44" t="str">
        <f t="shared" ca="1" si="7"/>
        <v/>
      </c>
    </row>
    <row r="105" spans="1:14" x14ac:dyDescent="0.35">
      <c r="A105" s="10"/>
      <c r="B105" s="10"/>
      <c r="C105" s="43" t="str">
        <f>IF(B105="","",IFERROR(INDEX(Assessment!$E$5:$E$2000,MATCH(B105,Assessment!$A$5:$A$2000,0)),"Not found"))</f>
        <v/>
      </c>
      <c r="D105" s="43" t="str">
        <f>IF(B105="","",IFERROR(INDEX(Assessment!$B$5:$B$2000,MATCH(B105,Assessment!$A$5:$A$2000,0)),"Not found"))</f>
        <v/>
      </c>
      <c r="E105" s="10"/>
      <c r="F105" s="10"/>
      <c r="G105" s="10"/>
      <c r="H105" s="10"/>
      <c r="I105" s="10"/>
      <c r="J105" s="14"/>
      <c r="K105" s="10"/>
      <c r="L105" s="14"/>
      <c r="M105" s="44" t="str">
        <f t="shared" ca="1" si="6"/>
        <v/>
      </c>
      <c r="N105" s="44" t="str">
        <f t="shared" ca="1" si="7"/>
        <v/>
      </c>
    </row>
    <row r="106" spans="1:14" x14ac:dyDescent="0.35">
      <c r="A106" s="10"/>
      <c r="B106" s="10"/>
      <c r="C106" s="43" t="str">
        <f>IF(B106="","",IFERROR(INDEX(Assessment!$E$5:$E$2000,MATCH(B106,Assessment!$A$5:$A$2000,0)),"Not found"))</f>
        <v/>
      </c>
      <c r="D106" s="43" t="str">
        <f>IF(B106="","",IFERROR(INDEX(Assessment!$B$5:$B$2000,MATCH(B106,Assessment!$A$5:$A$2000,0)),"Not found"))</f>
        <v/>
      </c>
      <c r="E106" s="10"/>
      <c r="F106" s="10"/>
      <c r="G106" s="10"/>
      <c r="H106" s="10"/>
      <c r="I106" s="10"/>
      <c r="J106" s="14"/>
      <c r="K106" s="10"/>
      <c r="L106" s="14"/>
      <c r="M106" s="44" t="str">
        <f t="shared" ca="1" si="6"/>
        <v/>
      </c>
      <c r="N106" s="44" t="str">
        <f t="shared" ca="1" si="7"/>
        <v/>
      </c>
    </row>
    <row r="107" spans="1:14" x14ac:dyDescent="0.35">
      <c r="A107" s="10"/>
      <c r="B107" s="10"/>
      <c r="C107" s="43" t="str">
        <f>IF(B107="","",IFERROR(INDEX(Assessment!$E$5:$E$2000,MATCH(B107,Assessment!$A$5:$A$2000,0)),"Not found"))</f>
        <v/>
      </c>
      <c r="D107" s="43" t="str">
        <f>IF(B107="","",IFERROR(INDEX(Assessment!$B$5:$B$2000,MATCH(B107,Assessment!$A$5:$A$2000,0)),"Not found"))</f>
        <v/>
      </c>
      <c r="E107" s="10"/>
      <c r="F107" s="10"/>
      <c r="G107" s="10"/>
      <c r="H107" s="10"/>
      <c r="I107" s="10"/>
      <c r="J107" s="14"/>
      <c r="K107" s="10"/>
      <c r="L107" s="14"/>
      <c r="M107" s="44" t="str">
        <f t="shared" ca="1" si="6"/>
        <v/>
      </c>
      <c r="N107" s="44" t="str">
        <f t="shared" ca="1" si="7"/>
        <v/>
      </c>
    </row>
    <row r="108" spans="1:14" x14ac:dyDescent="0.35">
      <c r="A108" s="10"/>
      <c r="B108" s="10"/>
      <c r="C108" s="43" t="str">
        <f>IF(B108="","",IFERROR(INDEX(Assessment!$E$5:$E$2000,MATCH(B108,Assessment!$A$5:$A$2000,0)),"Not found"))</f>
        <v/>
      </c>
      <c r="D108" s="43" t="str">
        <f>IF(B108="","",IFERROR(INDEX(Assessment!$B$5:$B$2000,MATCH(B108,Assessment!$A$5:$A$2000,0)),"Not found"))</f>
        <v/>
      </c>
      <c r="E108" s="10"/>
      <c r="F108" s="10"/>
      <c r="G108" s="10"/>
      <c r="H108" s="10"/>
      <c r="I108" s="10"/>
      <c r="J108" s="14"/>
      <c r="K108" s="10"/>
      <c r="L108" s="14"/>
      <c r="M108" s="44" t="str">
        <f t="shared" ca="1" si="6"/>
        <v/>
      </c>
      <c r="N108" s="44" t="str">
        <f t="shared" ca="1" si="7"/>
        <v/>
      </c>
    </row>
    <row r="109" spans="1:14" x14ac:dyDescent="0.35">
      <c r="A109" s="10"/>
      <c r="B109" s="10"/>
      <c r="C109" s="43" t="str">
        <f>IF(B109="","",IFERROR(INDEX(Assessment!$E$5:$E$2000,MATCH(B109,Assessment!$A$5:$A$2000,0)),"Not found"))</f>
        <v/>
      </c>
      <c r="D109" s="43" t="str">
        <f>IF(B109="","",IFERROR(INDEX(Assessment!$B$5:$B$2000,MATCH(B109,Assessment!$A$5:$A$2000,0)),"Not found"))</f>
        <v/>
      </c>
      <c r="E109" s="10"/>
      <c r="F109" s="10"/>
      <c r="G109" s="10"/>
      <c r="H109" s="10"/>
      <c r="I109" s="10"/>
      <c r="J109" s="14"/>
      <c r="K109" s="10"/>
      <c r="L109" s="14"/>
      <c r="M109" s="44" t="str">
        <f t="shared" ca="1" si="6"/>
        <v/>
      </c>
      <c r="N109" s="44" t="str">
        <f t="shared" ca="1" si="7"/>
        <v/>
      </c>
    </row>
    <row r="110" spans="1:14" x14ac:dyDescent="0.35">
      <c r="A110" s="10"/>
      <c r="B110" s="10"/>
      <c r="C110" s="43" t="str">
        <f>IF(B110="","",IFERROR(INDEX(Assessment!$E$5:$E$2000,MATCH(B110,Assessment!$A$5:$A$2000,0)),"Not found"))</f>
        <v/>
      </c>
      <c r="D110" s="43" t="str">
        <f>IF(B110="","",IFERROR(INDEX(Assessment!$B$5:$B$2000,MATCH(B110,Assessment!$A$5:$A$2000,0)),"Not found"))</f>
        <v/>
      </c>
      <c r="E110" s="10"/>
      <c r="F110" s="10"/>
      <c r="G110" s="10"/>
      <c r="H110" s="10"/>
      <c r="I110" s="10"/>
      <c r="J110" s="14"/>
      <c r="K110" s="10"/>
      <c r="L110" s="14"/>
      <c r="M110" s="44" t="str">
        <f t="shared" ca="1" si="6"/>
        <v/>
      </c>
      <c r="N110" s="44" t="str">
        <f t="shared" ca="1" si="7"/>
        <v/>
      </c>
    </row>
    <row r="111" spans="1:14" x14ac:dyDescent="0.35">
      <c r="A111" s="10"/>
      <c r="B111" s="10"/>
      <c r="C111" s="43" t="str">
        <f>IF(B111="","",IFERROR(INDEX(Assessment!$E$5:$E$2000,MATCH(B111,Assessment!$A$5:$A$2000,0)),"Not found"))</f>
        <v/>
      </c>
      <c r="D111" s="43" t="str">
        <f>IF(B111="","",IFERROR(INDEX(Assessment!$B$5:$B$2000,MATCH(B111,Assessment!$A$5:$A$2000,0)),"Not found"))</f>
        <v/>
      </c>
      <c r="E111" s="10"/>
      <c r="F111" s="10"/>
      <c r="G111" s="10"/>
      <c r="H111" s="10"/>
      <c r="I111" s="10"/>
      <c r="J111" s="14"/>
      <c r="K111" s="10"/>
      <c r="L111" s="14"/>
      <c r="M111" s="44" t="str">
        <f t="shared" ca="1" si="6"/>
        <v/>
      </c>
      <c r="N111" s="44" t="str">
        <f t="shared" ca="1" si="7"/>
        <v/>
      </c>
    </row>
    <row r="112" spans="1:14" x14ac:dyDescent="0.35">
      <c r="A112" s="10"/>
      <c r="B112" s="10"/>
      <c r="C112" s="43" t="str">
        <f>IF(B112="","",IFERROR(INDEX(Assessment!$E$5:$E$2000,MATCH(B112,Assessment!$A$5:$A$2000,0)),"Not found"))</f>
        <v/>
      </c>
      <c r="D112" s="43" t="str">
        <f>IF(B112="","",IFERROR(INDEX(Assessment!$B$5:$B$2000,MATCH(B112,Assessment!$A$5:$A$2000,0)),"Not found"))</f>
        <v/>
      </c>
      <c r="E112" s="10"/>
      <c r="F112" s="10"/>
      <c r="G112" s="10"/>
      <c r="H112" s="10"/>
      <c r="I112" s="10"/>
      <c r="J112" s="14"/>
      <c r="K112" s="10"/>
      <c r="L112" s="14"/>
      <c r="M112" s="44" t="str">
        <f t="shared" ca="1" si="6"/>
        <v/>
      </c>
      <c r="N112" s="44" t="str">
        <f t="shared" ca="1" si="7"/>
        <v/>
      </c>
    </row>
    <row r="113" spans="1:14" x14ac:dyDescent="0.35">
      <c r="A113" s="10"/>
      <c r="B113" s="10"/>
      <c r="C113" s="43" t="str">
        <f>IF(B113="","",IFERROR(INDEX(Assessment!$E$5:$E$2000,MATCH(B113,Assessment!$A$5:$A$2000,0)),"Not found"))</f>
        <v/>
      </c>
      <c r="D113" s="43" t="str">
        <f>IF(B113="","",IFERROR(INDEX(Assessment!$B$5:$B$2000,MATCH(B113,Assessment!$A$5:$A$2000,0)),"Not found"))</f>
        <v/>
      </c>
      <c r="E113" s="10"/>
      <c r="F113" s="10"/>
      <c r="G113" s="10"/>
      <c r="H113" s="10"/>
      <c r="I113" s="10"/>
      <c r="J113" s="14"/>
      <c r="K113" s="10"/>
      <c r="L113" s="14"/>
      <c r="M113" s="44" t="str">
        <f t="shared" ca="1" si="6"/>
        <v/>
      </c>
      <c r="N113" s="44" t="str">
        <f t="shared" ca="1" si="7"/>
        <v/>
      </c>
    </row>
    <row r="114" spans="1:14" x14ac:dyDescent="0.35">
      <c r="A114" s="10"/>
      <c r="B114" s="10"/>
      <c r="C114" s="43" t="str">
        <f>IF(B114="","",IFERROR(INDEX(Assessment!$E$5:$E$2000,MATCH(B114,Assessment!$A$5:$A$2000,0)),"Not found"))</f>
        <v/>
      </c>
      <c r="D114" s="43" t="str">
        <f>IF(B114="","",IFERROR(INDEX(Assessment!$B$5:$B$2000,MATCH(B114,Assessment!$A$5:$A$2000,0)),"Not found"))</f>
        <v/>
      </c>
      <c r="E114" s="10"/>
      <c r="F114" s="10"/>
      <c r="G114" s="10"/>
      <c r="H114" s="10"/>
      <c r="I114" s="10"/>
      <c r="J114" s="14"/>
      <c r="K114" s="10"/>
      <c r="L114" s="14"/>
      <c r="M114" s="44" t="str">
        <f t="shared" ca="1" si="6"/>
        <v/>
      </c>
      <c r="N114" s="44" t="str">
        <f t="shared" ca="1" si="7"/>
        <v/>
      </c>
    </row>
    <row r="115" spans="1:14" x14ac:dyDescent="0.35">
      <c r="A115" s="10"/>
      <c r="B115" s="10"/>
      <c r="C115" s="43" t="str">
        <f>IF(B115="","",IFERROR(INDEX(Assessment!$E$5:$E$2000,MATCH(B115,Assessment!$A$5:$A$2000,0)),"Not found"))</f>
        <v/>
      </c>
      <c r="D115" s="43" t="str">
        <f>IF(B115="","",IFERROR(INDEX(Assessment!$B$5:$B$2000,MATCH(B115,Assessment!$A$5:$A$2000,0)),"Not found"))</f>
        <v/>
      </c>
      <c r="E115" s="10"/>
      <c r="F115" s="10"/>
      <c r="G115" s="10"/>
      <c r="H115" s="10"/>
      <c r="I115" s="10"/>
      <c r="J115" s="14"/>
      <c r="K115" s="10"/>
      <c r="L115" s="14"/>
      <c r="M115" s="44" t="str">
        <f t="shared" ca="1" si="6"/>
        <v/>
      </c>
      <c r="N115" s="44" t="str">
        <f t="shared" ca="1" si="7"/>
        <v/>
      </c>
    </row>
    <row r="116" spans="1:14" x14ac:dyDescent="0.35">
      <c r="A116" s="10"/>
      <c r="B116" s="10"/>
      <c r="C116" s="43" t="str">
        <f>IF(B116="","",IFERROR(INDEX(Assessment!$E$5:$E$2000,MATCH(B116,Assessment!$A$5:$A$2000,0)),"Not found"))</f>
        <v/>
      </c>
      <c r="D116" s="43" t="str">
        <f>IF(B116="","",IFERROR(INDEX(Assessment!$B$5:$B$2000,MATCH(B116,Assessment!$A$5:$A$2000,0)),"Not found"))</f>
        <v/>
      </c>
      <c r="E116" s="10"/>
      <c r="F116" s="10"/>
      <c r="G116" s="10"/>
      <c r="H116" s="10"/>
      <c r="I116" s="10"/>
      <c r="J116" s="14"/>
      <c r="K116" s="10"/>
      <c r="L116" s="14"/>
      <c r="M116" s="44" t="str">
        <f t="shared" ca="1" si="6"/>
        <v/>
      </c>
      <c r="N116" s="44" t="str">
        <f t="shared" ca="1" si="7"/>
        <v/>
      </c>
    </row>
    <row r="117" spans="1:14" x14ac:dyDescent="0.35">
      <c r="A117" s="10"/>
      <c r="B117" s="10"/>
      <c r="C117" s="43" t="str">
        <f>IF(B117="","",IFERROR(INDEX(Assessment!$E$5:$E$2000,MATCH(B117,Assessment!$A$5:$A$2000,0)),"Not found"))</f>
        <v/>
      </c>
      <c r="D117" s="43" t="str">
        <f>IF(B117="","",IFERROR(INDEX(Assessment!$B$5:$B$2000,MATCH(B117,Assessment!$A$5:$A$2000,0)),"Not found"))</f>
        <v/>
      </c>
      <c r="E117" s="10"/>
      <c r="F117" s="10"/>
      <c r="G117" s="10"/>
      <c r="H117" s="10"/>
      <c r="I117" s="10"/>
      <c r="J117" s="14"/>
      <c r="K117" s="10"/>
      <c r="L117" s="14"/>
      <c r="M117" s="44" t="str">
        <f t="shared" ca="1" si="6"/>
        <v/>
      </c>
      <c r="N117" s="44" t="str">
        <f t="shared" ca="1" si="7"/>
        <v/>
      </c>
    </row>
    <row r="118" spans="1:14" x14ac:dyDescent="0.35">
      <c r="A118" s="10"/>
      <c r="B118" s="10"/>
      <c r="C118" s="43" t="str">
        <f>IF(B118="","",IFERROR(INDEX(Assessment!$E$5:$E$2000,MATCH(B118,Assessment!$A$5:$A$2000,0)),"Not found"))</f>
        <v/>
      </c>
      <c r="D118" s="43" t="str">
        <f>IF(B118="","",IFERROR(INDEX(Assessment!$B$5:$B$2000,MATCH(B118,Assessment!$A$5:$A$2000,0)),"Not found"))</f>
        <v/>
      </c>
      <c r="E118" s="10"/>
      <c r="F118" s="10"/>
      <c r="G118" s="10"/>
      <c r="H118" s="10"/>
      <c r="I118" s="10"/>
      <c r="J118" s="14"/>
      <c r="K118" s="10"/>
      <c r="L118" s="14"/>
      <c r="M118" s="44" t="str">
        <f t="shared" ca="1" si="6"/>
        <v/>
      </c>
      <c r="N118" s="44" t="str">
        <f t="shared" ca="1" si="7"/>
        <v/>
      </c>
    </row>
    <row r="119" spans="1:14" x14ac:dyDescent="0.35">
      <c r="A119" s="10"/>
      <c r="B119" s="10"/>
      <c r="C119" s="43" t="str">
        <f>IF(B119="","",IFERROR(INDEX(Assessment!$E$5:$E$2000,MATCH(B119,Assessment!$A$5:$A$2000,0)),"Not found"))</f>
        <v/>
      </c>
      <c r="D119" s="43" t="str">
        <f>IF(B119="","",IFERROR(INDEX(Assessment!$B$5:$B$2000,MATCH(B119,Assessment!$A$5:$A$2000,0)),"Not found"))</f>
        <v/>
      </c>
      <c r="E119" s="10"/>
      <c r="F119" s="10"/>
      <c r="G119" s="10"/>
      <c r="H119" s="10"/>
      <c r="I119" s="10"/>
      <c r="J119" s="14"/>
      <c r="K119" s="10"/>
      <c r="L119" s="14"/>
      <c r="M119" s="44" t="str">
        <f t="shared" ca="1" si="6"/>
        <v/>
      </c>
      <c r="N119" s="44" t="str">
        <f t="shared" ca="1" si="7"/>
        <v/>
      </c>
    </row>
    <row r="120" spans="1:14" x14ac:dyDescent="0.35">
      <c r="A120" s="10"/>
      <c r="B120" s="10"/>
      <c r="C120" s="43" t="str">
        <f>IF(B120="","",IFERROR(INDEX(Assessment!$E$5:$E$2000,MATCH(B120,Assessment!$A$5:$A$2000,0)),"Not found"))</f>
        <v/>
      </c>
      <c r="D120" s="43" t="str">
        <f>IF(B120="","",IFERROR(INDEX(Assessment!$B$5:$B$2000,MATCH(B120,Assessment!$A$5:$A$2000,0)),"Not found"))</f>
        <v/>
      </c>
      <c r="E120" s="10"/>
      <c r="F120" s="10"/>
      <c r="G120" s="10"/>
      <c r="H120" s="10"/>
      <c r="I120" s="10"/>
      <c r="J120" s="14"/>
      <c r="K120" s="10"/>
      <c r="L120" s="14"/>
      <c r="M120" s="44" t="str">
        <f t="shared" ca="1" si="6"/>
        <v/>
      </c>
      <c r="N120" s="44" t="str">
        <f t="shared" ca="1" si="7"/>
        <v/>
      </c>
    </row>
    <row r="121" spans="1:14" x14ac:dyDescent="0.35">
      <c r="A121" s="10"/>
      <c r="B121" s="10"/>
      <c r="C121" s="43" t="str">
        <f>IF(B121="","",IFERROR(INDEX(Assessment!$E$5:$E$2000,MATCH(B121,Assessment!$A$5:$A$2000,0)),"Not found"))</f>
        <v/>
      </c>
      <c r="D121" s="43" t="str">
        <f>IF(B121="","",IFERROR(INDEX(Assessment!$B$5:$B$2000,MATCH(B121,Assessment!$A$5:$A$2000,0)),"Not found"))</f>
        <v/>
      </c>
      <c r="E121" s="10"/>
      <c r="F121" s="10"/>
      <c r="G121" s="10"/>
      <c r="H121" s="10"/>
      <c r="I121" s="10"/>
      <c r="J121" s="14"/>
      <c r="K121" s="10"/>
      <c r="L121" s="14"/>
      <c r="M121" s="44" t="str">
        <f t="shared" ca="1" si="6"/>
        <v/>
      </c>
      <c r="N121" s="44" t="str">
        <f t="shared" ca="1" si="7"/>
        <v/>
      </c>
    </row>
    <row r="122" spans="1:14" x14ac:dyDescent="0.35">
      <c r="A122" s="10"/>
      <c r="B122" s="10"/>
      <c r="C122" s="43" t="str">
        <f>IF(B122="","",IFERROR(INDEX(Assessment!$E$5:$E$2000,MATCH(B122,Assessment!$A$5:$A$2000,0)),"Not found"))</f>
        <v/>
      </c>
      <c r="D122" s="43" t="str">
        <f>IF(B122="","",IFERROR(INDEX(Assessment!$B$5:$B$2000,MATCH(B122,Assessment!$A$5:$A$2000,0)),"Not found"))</f>
        <v/>
      </c>
      <c r="E122" s="10"/>
      <c r="F122" s="10"/>
      <c r="G122" s="10"/>
      <c r="H122" s="10"/>
      <c r="I122" s="10"/>
      <c r="J122" s="14"/>
      <c r="K122" s="10"/>
      <c r="L122" s="14"/>
      <c r="M122" s="44" t="str">
        <f t="shared" ca="1" si="6"/>
        <v/>
      </c>
      <c r="N122" s="44" t="str">
        <f t="shared" ca="1" si="7"/>
        <v/>
      </c>
    </row>
    <row r="123" spans="1:14" x14ac:dyDescent="0.35">
      <c r="A123" s="10"/>
      <c r="B123" s="10"/>
      <c r="C123" s="43" t="str">
        <f>IF(B123="","",IFERROR(INDEX(Assessment!$E$5:$E$2000,MATCH(B123,Assessment!$A$5:$A$2000,0)),"Not found"))</f>
        <v/>
      </c>
      <c r="D123" s="43" t="str">
        <f>IF(B123="","",IFERROR(INDEX(Assessment!$B$5:$B$2000,MATCH(B123,Assessment!$A$5:$A$2000,0)),"Not found"))</f>
        <v/>
      </c>
      <c r="E123" s="10"/>
      <c r="F123" s="10"/>
      <c r="G123" s="10"/>
      <c r="H123" s="10"/>
      <c r="I123" s="10"/>
      <c r="J123" s="14"/>
      <c r="K123" s="10"/>
      <c r="L123" s="14"/>
      <c r="M123" s="44" t="str">
        <f t="shared" ca="1" si="6"/>
        <v/>
      </c>
      <c r="N123" s="44" t="str">
        <f t="shared" ca="1" si="7"/>
        <v/>
      </c>
    </row>
    <row r="124" spans="1:14" x14ac:dyDescent="0.35">
      <c r="A124" s="10"/>
      <c r="B124" s="10"/>
      <c r="C124" s="43" t="str">
        <f>IF(B124="","",IFERROR(INDEX(Assessment!$E$5:$E$2000,MATCH(B124,Assessment!$A$5:$A$2000,0)),"Not found"))</f>
        <v/>
      </c>
      <c r="D124" s="43" t="str">
        <f>IF(B124="","",IFERROR(INDEX(Assessment!$B$5:$B$2000,MATCH(B124,Assessment!$A$5:$A$2000,0)),"Not found"))</f>
        <v/>
      </c>
      <c r="E124" s="10"/>
      <c r="F124" s="10"/>
      <c r="G124" s="10"/>
      <c r="H124" s="10"/>
      <c r="I124" s="10"/>
      <c r="J124" s="14"/>
      <c r="K124" s="10"/>
      <c r="L124" s="14"/>
      <c r="M124" s="44" t="str">
        <f t="shared" ca="1" si="6"/>
        <v/>
      </c>
      <c r="N124" s="44" t="str">
        <f t="shared" ca="1" si="7"/>
        <v/>
      </c>
    </row>
    <row r="125" spans="1:14" x14ac:dyDescent="0.35">
      <c r="A125" s="10"/>
      <c r="B125" s="10"/>
      <c r="C125" s="43" t="str">
        <f>IF(B125="","",IFERROR(INDEX(Assessment!$E$5:$E$2000,MATCH(B125,Assessment!$A$5:$A$2000,0)),"Not found"))</f>
        <v/>
      </c>
      <c r="D125" s="43" t="str">
        <f>IF(B125="","",IFERROR(INDEX(Assessment!$B$5:$B$2000,MATCH(B125,Assessment!$A$5:$A$2000,0)),"Not found"))</f>
        <v/>
      </c>
      <c r="E125" s="10"/>
      <c r="F125" s="10"/>
      <c r="G125" s="10"/>
      <c r="H125" s="10"/>
      <c r="I125" s="10"/>
      <c r="J125" s="14"/>
      <c r="K125" s="10"/>
      <c r="L125" s="14"/>
      <c r="M125" s="44" t="str">
        <f t="shared" ca="1" si="6"/>
        <v/>
      </c>
      <c r="N125" s="44" t="str">
        <f t="shared" ca="1" si="7"/>
        <v/>
      </c>
    </row>
    <row r="126" spans="1:14" x14ac:dyDescent="0.35">
      <c r="A126" s="10"/>
      <c r="B126" s="10"/>
      <c r="C126" s="43" t="str">
        <f>IF(B126="","",IFERROR(INDEX(Assessment!$E$5:$E$2000,MATCH(B126,Assessment!$A$5:$A$2000,0)),"Not found"))</f>
        <v/>
      </c>
      <c r="D126" s="43" t="str">
        <f>IF(B126="","",IFERROR(INDEX(Assessment!$B$5:$B$2000,MATCH(B126,Assessment!$A$5:$A$2000,0)),"Not found"))</f>
        <v/>
      </c>
      <c r="E126" s="10"/>
      <c r="F126" s="10"/>
      <c r="G126" s="10"/>
      <c r="H126" s="10"/>
      <c r="I126" s="10"/>
      <c r="J126" s="14"/>
      <c r="K126" s="10"/>
      <c r="L126" s="14"/>
      <c r="M126" s="44" t="str">
        <f t="shared" ca="1" si="6"/>
        <v/>
      </c>
      <c r="N126" s="44" t="str">
        <f t="shared" ca="1" si="7"/>
        <v/>
      </c>
    </row>
    <row r="127" spans="1:14" x14ac:dyDescent="0.35">
      <c r="A127" s="10"/>
      <c r="B127" s="10"/>
      <c r="C127" s="43" t="str">
        <f>IF(B127="","",IFERROR(INDEX(Assessment!$E$5:$E$2000,MATCH(B127,Assessment!$A$5:$A$2000,0)),"Not found"))</f>
        <v/>
      </c>
      <c r="D127" s="43" t="str">
        <f>IF(B127="","",IFERROR(INDEX(Assessment!$B$5:$B$2000,MATCH(B127,Assessment!$A$5:$A$2000,0)),"Not found"))</f>
        <v/>
      </c>
      <c r="E127" s="10"/>
      <c r="F127" s="10"/>
      <c r="G127" s="10"/>
      <c r="H127" s="10"/>
      <c r="I127" s="10"/>
      <c r="J127" s="14"/>
      <c r="K127" s="10"/>
      <c r="L127" s="14"/>
      <c r="M127" s="44" t="str">
        <f t="shared" ca="1" si="6"/>
        <v/>
      </c>
      <c r="N127" s="44" t="str">
        <f t="shared" ca="1" si="7"/>
        <v/>
      </c>
    </row>
    <row r="128" spans="1:14" x14ac:dyDescent="0.35">
      <c r="A128" s="10"/>
      <c r="B128" s="10"/>
      <c r="C128" s="43" t="str">
        <f>IF(B128="","",IFERROR(INDEX(Assessment!$E$5:$E$2000,MATCH(B128,Assessment!$A$5:$A$2000,0)),"Not found"))</f>
        <v/>
      </c>
      <c r="D128" s="43" t="str">
        <f>IF(B128="","",IFERROR(INDEX(Assessment!$B$5:$B$2000,MATCH(B128,Assessment!$A$5:$A$2000,0)),"Not found"))</f>
        <v/>
      </c>
      <c r="E128" s="10"/>
      <c r="F128" s="10"/>
      <c r="G128" s="10"/>
      <c r="H128" s="10"/>
      <c r="I128" s="10"/>
      <c r="J128" s="14"/>
      <c r="K128" s="10"/>
      <c r="L128" s="14"/>
      <c r="M128" s="44" t="str">
        <f t="shared" ca="1" si="6"/>
        <v/>
      </c>
      <c r="N128" s="44" t="str">
        <f t="shared" ca="1" si="7"/>
        <v/>
      </c>
    </row>
    <row r="129" spans="1:14" x14ac:dyDescent="0.35">
      <c r="A129" s="10"/>
      <c r="B129" s="10"/>
      <c r="C129" s="43" t="str">
        <f>IF(B129="","",IFERROR(INDEX(Assessment!$E$5:$E$2000,MATCH(B129,Assessment!$A$5:$A$2000,0)),"Not found"))</f>
        <v/>
      </c>
      <c r="D129" s="43" t="str">
        <f>IF(B129="","",IFERROR(INDEX(Assessment!$B$5:$B$2000,MATCH(B129,Assessment!$A$5:$A$2000,0)),"Not found"))</f>
        <v/>
      </c>
      <c r="E129" s="10"/>
      <c r="F129" s="10"/>
      <c r="G129" s="10"/>
      <c r="H129" s="10"/>
      <c r="I129" s="10"/>
      <c r="J129" s="14"/>
      <c r="K129" s="10"/>
      <c r="L129" s="14"/>
      <c r="M129" s="44" t="str">
        <f t="shared" ca="1" si="6"/>
        <v/>
      </c>
      <c r="N129" s="44" t="str">
        <f t="shared" ca="1" si="7"/>
        <v/>
      </c>
    </row>
    <row r="130" spans="1:14" x14ac:dyDescent="0.35">
      <c r="A130" s="10"/>
      <c r="B130" s="10"/>
      <c r="C130" s="43" t="str">
        <f>IF(B130="","",IFERROR(INDEX(Assessment!$E$5:$E$2000,MATCH(B130,Assessment!$A$5:$A$2000,0)),"Not found"))</f>
        <v/>
      </c>
      <c r="D130" s="43" t="str">
        <f>IF(B130="","",IFERROR(INDEX(Assessment!$B$5:$B$2000,MATCH(B130,Assessment!$A$5:$A$2000,0)),"Not found"))</f>
        <v/>
      </c>
      <c r="E130" s="10"/>
      <c r="F130" s="10"/>
      <c r="G130" s="10"/>
      <c r="H130" s="10"/>
      <c r="I130" s="10"/>
      <c r="J130" s="14"/>
      <c r="K130" s="10"/>
      <c r="L130" s="14"/>
      <c r="M130" s="44" t="str">
        <f t="shared" ca="1" si="6"/>
        <v/>
      </c>
      <c r="N130" s="44" t="str">
        <f t="shared" ca="1" si="7"/>
        <v/>
      </c>
    </row>
    <row r="131" spans="1:14" x14ac:dyDescent="0.35">
      <c r="A131" s="10"/>
      <c r="B131" s="10"/>
      <c r="C131" s="43" t="str">
        <f>IF(B131="","",IFERROR(INDEX(Assessment!$E$5:$E$2000,MATCH(B131,Assessment!$A$5:$A$2000,0)),"Not found"))</f>
        <v/>
      </c>
      <c r="D131" s="43" t="str">
        <f>IF(B131="","",IFERROR(INDEX(Assessment!$B$5:$B$2000,MATCH(B131,Assessment!$A$5:$A$2000,0)),"Not found"))</f>
        <v/>
      </c>
      <c r="E131" s="10"/>
      <c r="F131" s="10"/>
      <c r="G131" s="10"/>
      <c r="H131" s="10"/>
      <c r="I131" s="10"/>
      <c r="J131" s="14"/>
      <c r="K131" s="10"/>
      <c r="L131" s="14"/>
      <c r="M131" s="44" t="str">
        <f t="shared" ca="1" si="6"/>
        <v/>
      </c>
      <c r="N131" s="44" t="str">
        <f t="shared" ca="1" si="7"/>
        <v/>
      </c>
    </row>
    <row r="132" spans="1:14" x14ac:dyDescent="0.35">
      <c r="A132" s="10"/>
      <c r="B132" s="10"/>
      <c r="C132" s="43" t="str">
        <f>IF(B132="","",IFERROR(INDEX(Assessment!$E$5:$E$2000,MATCH(B132,Assessment!$A$5:$A$2000,0)),"Not found"))</f>
        <v/>
      </c>
      <c r="D132" s="43" t="str">
        <f>IF(B132="","",IFERROR(INDEX(Assessment!$B$5:$B$2000,MATCH(B132,Assessment!$A$5:$A$2000,0)),"Not found"))</f>
        <v/>
      </c>
      <c r="E132" s="10"/>
      <c r="F132" s="10"/>
      <c r="G132" s="10"/>
      <c r="H132" s="10"/>
      <c r="I132" s="10"/>
      <c r="J132" s="14"/>
      <c r="K132" s="10"/>
      <c r="L132" s="14"/>
      <c r="M132" s="44" t="str">
        <f t="shared" ca="1" si="6"/>
        <v/>
      </c>
      <c r="N132" s="44" t="str">
        <f t="shared" ca="1" si="7"/>
        <v/>
      </c>
    </row>
    <row r="133" spans="1:14" x14ac:dyDescent="0.35">
      <c r="A133" s="10"/>
      <c r="B133" s="10"/>
      <c r="C133" s="43" t="str">
        <f>IF(B133="","",IFERROR(INDEX(Assessment!$E$5:$E$2000,MATCH(B133,Assessment!$A$5:$A$2000,0)),"Not found"))</f>
        <v/>
      </c>
      <c r="D133" s="43" t="str">
        <f>IF(B133="","",IFERROR(INDEX(Assessment!$B$5:$B$2000,MATCH(B133,Assessment!$A$5:$A$2000,0)),"Not found"))</f>
        <v/>
      </c>
      <c r="E133" s="10"/>
      <c r="F133" s="10"/>
      <c r="G133" s="10"/>
      <c r="H133" s="10"/>
      <c r="I133" s="10"/>
      <c r="J133" s="14"/>
      <c r="K133" s="10"/>
      <c r="L133" s="14"/>
      <c r="M133" s="44" t="str">
        <f t="shared" ca="1" si="6"/>
        <v/>
      </c>
      <c r="N133" s="44" t="str">
        <f t="shared" ca="1" si="7"/>
        <v/>
      </c>
    </row>
    <row r="134" spans="1:14" x14ac:dyDescent="0.35">
      <c r="A134" s="10"/>
      <c r="B134" s="10"/>
      <c r="C134" s="43" t="str">
        <f>IF(B134="","",IFERROR(INDEX(Assessment!$E$5:$E$2000,MATCH(B134,Assessment!$A$5:$A$2000,0)),"Not found"))</f>
        <v/>
      </c>
      <c r="D134" s="43" t="str">
        <f>IF(B134="","",IFERROR(INDEX(Assessment!$B$5:$B$2000,MATCH(B134,Assessment!$A$5:$A$2000,0)),"Not found"))</f>
        <v/>
      </c>
      <c r="E134" s="10"/>
      <c r="F134" s="10"/>
      <c r="G134" s="10"/>
      <c r="H134" s="10"/>
      <c r="I134" s="10"/>
      <c r="J134" s="14"/>
      <c r="K134" s="10"/>
      <c r="L134" s="14"/>
      <c r="M134" s="44" t="str">
        <f t="shared" ref="M134:M165" ca="1" si="8">IF(OR(L134="",K134="Closed",K134="Risk Accepted"),"",TODAY()-L134)</f>
        <v/>
      </c>
      <c r="N134" s="44" t="str">
        <f t="shared" ref="N134:N165" ca="1" si="9">IF(OR(J134="",K134="Closed",K134="Risk Accepted",K134="Remediated"),"",IF(TODAY()&gt;J134,"Overdue",""))</f>
        <v/>
      </c>
    </row>
    <row r="135" spans="1:14" x14ac:dyDescent="0.35">
      <c r="A135" s="10"/>
      <c r="B135" s="10"/>
      <c r="C135" s="43" t="str">
        <f>IF(B135="","",IFERROR(INDEX(Assessment!$E$5:$E$2000,MATCH(B135,Assessment!$A$5:$A$2000,0)),"Not found"))</f>
        <v/>
      </c>
      <c r="D135" s="43" t="str">
        <f>IF(B135="","",IFERROR(INDEX(Assessment!$B$5:$B$2000,MATCH(B135,Assessment!$A$5:$A$2000,0)),"Not found"))</f>
        <v/>
      </c>
      <c r="E135" s="10"/>
      <c r="F135" s="10"/>
      <c r="G135" s="10"/>
      <c r="H135" s="10"/>
      <c r="I135" s="10"/>
      <c r="J135" s="14"/>
      <c r="K135" s="10"/>
      <c r="L135" s="14"/>
      <c r="M135" s="44" t="str">
        <f t="shared" ca="1" si="8"/>
        <v/>
      </c>
      <c r="N135" s="44" t="str">
        <f t="shared" ca="1" si="9"/>
        <v/>
      </c>
    </row>
    <row r="136" spans="1:14" x14ac:dyDescent="0.35">
      <c r="A136" s="10"/>
      <c r="B136" s="10"/>
      <c r="C136" s="43" t="str">
        <f>IF(B136="","",IFERROR(INDEX(Assessment!$E$5:$E$2000,MATCH(B136,Assessment!$A$5:$A$2000,0)),"Not found"))</f>
        <v/>
      </c>
      <c r="D136" s="43" t="str">
        <f>IF(B136="","",IFERROR(INDEX(Assessment!$B$5:$B$2000,MATCH(B136,Assessment!$A$5:$A$2000,0)),"Not found"))</f>
        <v/>
      </c>
      <c r="E136" s="10"/>
      <c r="F136" s="10"/>
      <c r="G136" s="10"/>
      <c r="H136" s="10"/>
      <c r="I136" s="10"/>
      <c r="J136" s="14"/>
      <c r="K136" s="10"/>
      <c r="L136" s="14"/>
      <c r="M136" s="44" t="str">
        <f t="shared" ca="1" si="8"/>
        <v/>
      </c>
      <c r="N136" s="44" t="str">
        <f t="shared" ca="1" si="9"/>
        <v/>
      </c>
    </row>
    <row r="137" spans="1:14" x14ac:dyDescent="0.35">
      <c r="A137" s="10"/>
      <c r="B137" s="10"/>
      <c r="C137" s="43" t="str">
        <f>IF(B137="","",IFERROR(INDEX(Assessment!$E$5:$E$2000,MATCH(B137,Assessment!$A$5:$A$2000,0)),"Not found"))</f>
        <v/>
      </c>
      <c r="D137" s="43" t="str">
        <f>IF(B137="","",IFERROR(INDEX(Assessment!$B$5:$B$2000,MATCH(B137,Assessment!$A$5:$A$2000,0)),"Not found"))</f>
        <v/>
      </c>
      <c r="E137" s="10"/>
      <c r="F137" s="10"/>
      <c r="G137" s="10"/>
      <c r="H137" s="10"/>
      <c r="I137" s="10"/>
      <c r="J137" s="14"/>
      <c r="K137" s="10"/>
      <c r="L137" s="14"/>
      <c r="M137" s="44" t="str">
        <f t="shared" ca="1" si="8"/>
        <v/>
      </c>
      <c r="N137" s="44" t="str">
        <f t="shared" ca="1" si="9"/>
        <v/>
      </c>
    </row>
    <row r="138" spans="1:14" x14ac:dyDescent="0.35">
      <c r="A138" s="10"/>
      <c r="B138" s="10"/>
      <c r="C138" s="43" t="str">
        <f>IF(B138="","",IFERROR(INDEX(Assessment!$E$5:$E$2000,MATCH(B138,Assessment!$A$5:$A$2000,0)),"Not found"))</f>
        <v/>
      </c>
      <c r="D138" s="43" t="str">
        <f>IF(B138="","",IFERROR(INDEX(Assessment!$B$5:$B$2000,MATCH(B138,Assessment!$A$5:$A$2000,0)),"Not found"))</f>
        <v/>
      </c>
      <c r="E138" s="10"/>
      <c r="F138" s="10"/>
      <c r="G138" s="10"/>
      <c r="H138" s="10"/>
      <c r="I138" s="10"/>
      <c r="J138" s="14"/>
      <c r="K138" s="10"/>
      <c r="L138" s="14"/>
      <c r="M138" s="44" t="str">
        <f t="shared" ca="1" si="8"/>
        <v/>
      </c>
      <c r="N138" s="44" t="str">
        <f t="shared" ca="1" si="9"/>
        <v/>
      </c>
    </row>
    <row r="139" spans="1:14" x14ac:dyDescent="0.35">
      <c r="A139" s="10"/>
      <c r="B139" s="10"/>
      <c r="C139" s="43" t="str">
        <f>IF(B139="","",IFERROR(INDEX(Assessment!$E$5:$E$2000,MATCH(B139,Assessment!$A$5:$A$2000,0)),"Not found"))</f>
        <v/>
      </c>
      <c r="D139" s="43" t="str">
        <f>IF(B139="","",IFERROR(INDEX(Assessment!$B$5:$B$2000,MATCH(B139,Assessment!$A$5:$A$2000,0)),"Not found"))</f>
        <v/>
      </c>
      <c r="E139" s="10"/>
      <c r="F139" s="10"/>
      <c r="G139" s="10"/>
      <c r="H139" s="10"/>
      <c r="I139" s="10"/>
      <c r="J139" s="14"/>
      <c r="K139" s="10"/>
      <c r="L139" s="14"/>
      <c r="M139" s="44" t="str">
        <f t="shared" ca="1" si="8"/>
        <v/>
      </c>
      <c r="N139" s="44" t="str">
        <f t="shared" ca="1" si="9"/>
        <v/>
      </c>
    </row>
    <row r="140" spans="1:14" x14ac:dyDescent="0.35">
      <c r="A140" s="10"/>
      <c r="B140" s="10"/>
      <c r="C140" s="43" t="str">
        <f>IF(B140="","",IFERROR(INDEX(Assessment!$E$5:$E$2000,MATCH(B140,Assessment!$A$5:$A$2000,0)),"Not found"))</f>
        <v/>
      </c>
      <c r="D140" s="43" t="str">
        <f>IF(B140="","",IFERROR(INDEX(Assessment!$B$5:$B$2000,MATCH(B140,Assessment!$A$5:$A$2000,0)),"Not found"))</f>
        <v/>
      </c>
      <c r="E140" s="10"/>
      <c r="F140" s="10"/>
      <c r="G140" s="10"/>
      <c r="H140" s="10"/>
      <c r="I140" s="10"/>
      <c r="J140" s="14"/>
      <c r="K140" s="10"/>
      <c r="L140" s="14"/>
      <c r="M140" s="44" t="str">
        <f t="shared" ca="1" si="8"/>
        <v/>
      </c>
      <c r="N140" s="44" t="str">
        <f t="shared" ca="1" si="9"/>
        <v/>
      </c>
    </row>
    <row r="141" spans="1:14" x14ac:dyDescent="0.35">
      <c r="A141" s="10"/>
      <c r="B141" s="10"/>
      <c r="C141" s="43" t="str">
        <f>IF(B141="","",IFERROR(INDEX(Assessment!$E$5:$E$2000,MATCH(B141,Assessment!$A$5:$A$2000,0)),"Not found"))</f>
        <v/>
      </c>
      <c r="D141" s="43" t="str">
        <f>IF(B141="","",IFERROR(INDEX(Assessment!$B$5:$B$2000,MATCH(B141,Assessment!$A$5:$A$2000,0)),"Not found"))</f>
        <v/>
      </c>
      <c r="E141" s="10"/>
      <c r="F141" s="10"/>
      <c r="G141" s="10"/>
      <c r="H141" s="10"/>
      <c r="I141" s="10"/>
      <c r="J141" s="14"/>
      <c r="K141" s="10"/>
      <c r="L141" s="14"/>
      <c r="M141" s="44" t="str">
        <f t="shared" ca="1" si="8"/>
        <v/>
      </c>
      <c r="N141" s="44" t="str">
        <f t="shared" ca="1" si="9"/>
        <v/>
      </c>
    </row>
    <row r="142" spans="1:14" x14ac:dyDescent="0.35">
      <c r="A142" s="10"/>
      <c r="B142" s="10"/>
      <c r="C142" s="43" t="str">
        <f>IF(B142="","",IFERROR(INDEX(Assessment!$E$5:$E$2000,MATCH(B142,Assessment!$A$5:$A$2000,0)),"Not found"))</f>
        <v/>
      </c>
      <c r="D142" s="43" t="str">
        <f>IF(B142="","",IFERROR(INDEX(Assessment!$B$5:$B$2000,MATCH(B142,Assessment!$A$5:$A$2000,0)),"Not found"))</f>
        <v/>
      </c>
      <c r="E142" s="10"/>
      <c r="F142" s="10"/>
      <c r="G142" s="10"/>
      <c r="H142" s="10"/>
      <c r="I142" s="10"/>
      <c r="J142" s="14"/>
      <c r="K142" s="10"/>
      <c r="L142" s="14"/>
      <c r="M142" s="44" t="str">
        <f t="shared" ca="1" si="8"/>
        <v/>
      </c>
      <c r="N142" s="44" t="str">
        <f t="shared" ca="1" si="9"/>
        <v/>
      </c>
    </row>
    <row r="143" spans="1:14" x14ac:dyDescent="0.35">
      <c r="A143" s="10"/>
      <c r="B143" s="10"/>
      <c r="C143" s="43" t="str">
        <f>IF(B143="","",IFERROR(INDEX(Assessment!$E$5:$E$2000,MATCH(B143,Assessment!$A$5:$A$2000,0)),"Not found"))</f>
        <v/>
      </c>
      <c r="D143" s="43" t="str">
        <f>IF(B143="","",IFERROR(INDEX(Assessment!$B$5:$B$2000,MATCH(B143,Assessment!$A$5:$A$2000,0)),"Not found"))</f>
        <v/>
      </c>
      <c r="E143" s="10"/>
      <c r="F143" s="10"/>
      <c r="G143" s="10"/>
      <c r="H143" s="10"/>
      <c r="I143" s="10"/>
      <c r="J143" s="14"/>
      <c r="K143" s="10"/>
      <c r="L143" s="14"/>
      <c r="M143" s="44" t="str">
        <f t="shared" ca="1" si="8"/>
        <v/>
      </c>
      <c r="N143" s="44" t="str">
        <f t="shared" ca="1" si="9"/>
        <v/>
      </c>
    </row>
    <row r="144" spans="1:14" x14ac:dyDescent="0.35">
      <c r="A144" s="10"/>
      <c r="B144" s="10"/>
      <c r="C144" s="43" t="str">
        <f>IF(B144="","",IFERROR(INDEX(Assessment!$E$5:$E$2000,MATCH(B144,Assessment!$A$5:$A$2000,0)),"Not found"))</f>
        <v/>
      </c>
      <c r="D144" s="43" t="str">
        <f>IF(B144="","",IFERROR(INDEX(Assessment!$B$5:$B$2000,MATCH(B144,Assessment!$A$5:$A$2000,0)),"Not found"))</f>
        <v/>
      </c>
      <c r="E144" s="10"/>
      <c r="F144" s="10"/>
      <c r="G144" s="10"/>
      <c r="H144" s="10"/>
      <c r="I144" s="10"/>
      <c r="J144" s="14"/>
      <c r="K144" s="10"/>
      <c r="L144" s="14"/>
      <c r="M144" s="44" t="str">
        <f t="shared" ca="1" si="8"/>
        <v/>
      </c>
      <c r="N144" s="44" t="str">
        <f t="shared" ca="1" si="9"/>
        <v/>
      </c>
    </row>
    <row r="145" spans="1:14" x14ac:dyDescent="0.35">
      <c r="A145" s="10"/>
      <c r="B145" s="10"/>
      <c r="C145" s="43" t="str">
        <f>IF(B145="","",IFERROR(INDEX(Assessment!$E$5:$E$2000,MATCH(B145,Assessment!$A$5:$A$2000,0)),"Not found"))</f>
        <v/>
      </c>
      <c r="D145" s="43" t="str">
        <f>IF(B145="","",IFERROR(INDEX(Assessment!$B$5:$B$2000,MATCH(B145,Assessment!$A$5:$A$2000,0)),"Not found"))</f>
        <v/>
      </c>
      <c r="E145" s="10"/>
      <c r="F145" s="10"/>
      <c r="G145" s="10"/>
      <c r="H145" s="10"/>
      <c r="I145" s="10"/>
      <c r="J145" s="14"/>
      <c r="K145" s="10"/>
      <c r="L145" s="14"/>
      <c r="M145" s="44" t="str">
        <f t="shared" ca="1" si="8"/>
        <v/>
      </c>
      <c r="N145" s="44" t="str">
        <f t="shared" ca="1" si="9"/>
        <v/>
      </c>
    </row>
    <row r="146" spans="1:14" x14ac:dyDescent="0.35">
      <c r="A146" s="10"/>
      <c r="B146" s="10"/>
      <c r="C146" s="43" t="str">
        <f>IF(B146="","",IFERROR(INDEX(Assessment!$E$5:$E$2000,MATCH(B146,Assessment!$A$5:$A$2000,0)),"Not found"))</f>
        <v/>
      </c>
      <c r="D146" s="43" t="str">
        <f>IF(B146="","",IFERROR(INDEX(Assessment!$B$5:$B$2000,MATCH(B146,Assessment!$A$5:$A$2000,0)),"Not found"))</f>
        <v/>
      </c>
      <c r="E146" s="10"/>
      <c r="F146" s="10"/>
      <c r="G146" s="10"/>
      <c r="H146" s="10"/>
      <c r="I146" s="10"/>
      <c r="J146" s="14"/>
      <c r="K146" s="10"/>
      <c r="L146" s="14"/>
      <c r="M146" s="44" t="str">
        <f t="shared" ca="1" si="8"/>
        <v/>
      </c>
      <c r="N146" s="44" t="str">
        <f t="shared" ca="1" si="9"/>
        <v/>
      </c>
    </row>
    <row r="147" spans="1:14" x14ac:dyDescent="0.35">
      <c r="A147" s="10"/>
      <c r="B147" s="10"/>
      <c r="C147" s="43" t="str">
        <f>IF(B147="","",IFERROR(INDEX(Assessment!$E$5:$E$2000,MATCH(B147,Assessment!$A$5:$A$2000,0)),"Not found"))</f>
        <v/>
      </c>
      <c r="D147" s="43" t="str">
        <f>IF(B147="","",IFERROR(INDEX(Assessment!$B$5:$B$2000,MATCH(B147,Assessment!$A$5:$A$2000,0)),"Not found"))</f>
        <v/>
      </c>
      <c r="E147" s="10"/>
      <c r="F147" s="10"/>
      <c r="G147" s="10"/>
      <c r="H147" s="10"/>
      <c r="I147" s="10"/>
      <c r="J147" s="14"/>
      <c r="K147" s="10"/>
      <c r="L147" s="14"/>
      <c r="M147" s="44" t="str">
        <f t="shared" ca="1" si="8"/>
        <v/>
      </c>
      <c r="N147" s="44" t="str">
        <f t="shared" ca="1" si="9"/>
        <v/>
      </c>
    </row>
    <row r="148" spans="1:14" x14ac:dyDescent="0.35">
      <c r="A148" s="10"/>
      <c r="B148" s="10"/>
      <c r="C148" s="43" t="str">
        <f>IF(B148="","",IFERROR(INDEX(Assessment!$E$5:$E$2000,MATCH(B148,Assessment!$A$5:$A$2000,0)),"Not found"))</f>
        <v/>
      </c>
      <c r="D148" s="43" t="str">
        <f>IF(B148="","",IFERROR(INDEX(Assessment!$B$5:$B$2000,MATCH(B148,Assessment!$A$5:$A$2000,0)),"Not found"))</f>
        <v/>
      </c>
      <c r="E148" s="10"/>
      <c r="F148" s="10"/>
      <c r="G148" s="10"/>
      <c r="H148" s="10"/>
      <c r="I148" s="10"/>
      <c r="J148" s="14"/>
      <c r="K148" s="10"/>
      <c r="L148" s="14"/>
      <c r="M148" s="44" t="str">
        <f t="shared" ca="1" si="8"/>
        <v/>
      </c>
      <c r="N148" s="44" t="str">
        <f t="shared" ca="1" si="9"/>
        <v/>
      </c>
    </row>
    <row r="149" spans="1:14" x14ac:dyDescent="0.35">
      <c r="A149" s="10"/>
      <c r="B149" s="10"/>
      <c r="C149" s="43" t="str">
        <f>IF(B149="","",IFERROR(INDEX(Assessment!$E$5:$E$2000,MATCH(B149,Assessment!$A$5:$A$2000,0)),"Not found"))</f>
        <v/>
      </c>
      <c r="D149" s="43" t="str">
        <f>IF(B149="","",IFERROR(INDEX(Assessment!$B$5:$B$2000,MATCH(B149,Assessment!$A$5:$A$2000,0)),"Not found"))</f>
        <v/>
      </c>
      <c r="E149" s="10"/>
      <c r="F149" s="10"/>
      <c r="G149" s="10"/>
      <c r="H149" s="10"/>
      <c r="I149" s="10"/>
      <c r="J149" s="14"/>
      <c r="K149" s="10"/>
      <c r="L149" s="14"/>
      <c r="M149" s="44" t="str">
        <f t="shared" ca="1" si="8"/>
        <v/>
      </c>
      <c r="N149" s="44" t="str">
        <f t="shared" ca="1" si="9"/>
        <v/>
      </c>
    </row>
    <row r="150" spans="1:14" x14ac:dyDescent="0.35">
      <c r="A150" s="10"/>
      <c r="B150" s="10"/>
      <c r="C150" s="43" t="str">
        <f>IF(B150="","",IFERROR(INDEX(Assessment!$E$5:$E$2000,MATCH(B150,Assessment!$A$5:$A$2000,0)),"Not found"))</f>
        <v/>
      </c>
      <c r="D150" s="43" t="str">
        <f>IF(B150="","",IFERROR(INDEX(Assessment!$B$5:$B$2000,MATCH(B150,Assessment!$A$5:$A$2000,0)),"Not found"))</f>
        <v/>
      </c>
      <c r="E150" s="10"/>
      <c r="F150" s="10"/>
      <c r="G150" s="10"/>
      <c r="H150" s="10"/>
      <c r="I150" s="10"/>
      <c r="J150" s="14"/>
      <c r="K150" s="10"/>
      <c r="L150" s="14"/>
      <c r="M150" s="44" t="str">
        <f t="shared" ca="1" si="8"/>
        <v/>
      </c>
      <c r="N150" s="44" t="str">
        <f t="shared" ca="1" si="9"/>
        <v/>
      </c>
    </row>
    <row r="151" spans="1:14" x14ac:dyDescent="0.35">
      <c r="A151" s="10"/>
      <c r="B151" s="10"/>
      <c r="C151" s="43" t="str">
        <f>IF(B151="","",IFERROR(INDEX(Assessment!$E$5:$E$2000,MATCH(B151,Assessment!$A$5:$A$2000,0)),"Not found"))</f>
        <v/>
      </c>
      <c r="D151" s="43" t="str">
        <f>IF(B151="","",IFERROR(INDEX(Assessment!$B$5:$B$2000,MATCH(B151,Assessment!$A$5:$A$2000,0)),"Not found"))</f>
        <v/>
      </c>
      <c r="E151" s="10"/>
      <c r="F151" s="10"/>
      <c r="G151" s="10"/>
      <c r="H151" s="10"/>
      <c r="I151" s="10"/>
      <c r="J151" s="14"/>
      <c r="K151" s="10"/>
      <c r="L151" s="14"/>
      <c r="M151" s="44" t="str">
        <f t="shared" ca="1" si="8"/>
        <v/>
      </c>
      <c r="N151" s="44" t="str">
        <f t="shared" ca="1" si="9"/>
        <v/>
      </c>
    </row>
    <row r="152" spans="1:14" x14ac:dyDescent="0.35">
      <c r="A152" s="10"/>
      <c r="B152" s="10"/>
      <c r="C152" s="43" t="str">
        <f>IF(B152="","",IFERROR(INDEX(Assessment!$E$5:$E$2000,MATCH(B152,Assessment!$A$5:$A$2000,0)),"Not found"))</f>
        <v/>
      </c>
      <c r="D152" s="43" t="str">
        <f>IF(B152="","",IFERROR(INDEX(Assessment!$B$5:$B$2000,MATCH(B152,Assessment!$A$5:$A$2000,0)),"Not found"))</f>
        <v/>
      </c>
      <c r="E152" s="10"/>
      <c r="F152" s="10"/>
      <c r="G152" s="10"/>
      <c r="H152" s="10"/>
      <c r="I152" s="10"/>
      <c r="J152" s="14"/>
      <c r="K152" s="10"/>
      <c r="L152" s="14"/>
      <c r="M152" s="44" t="str">
        <f t="shared" ca="1" si="8"/>
        <v/>
      </c>
      <c r="N152" s="44" t="str">
        <f t="shared" ca="1" si="9"/>
        <v/>
      </c>
    </row>
    <row r="153" spans="1:14" x14ac:dyDescent="0.35">
      <c r="A153" s="10"/>
      <c r="B153" s="10"/>
      <c r="C153" s="43" t="str">
        <f>IF(B153="","",IFERROR(INDEX(Assessment!$E$5:$E$2000,MATCH(B153,Assessment!$A$5:$A$2000,0)),"Not found"))</f>
        <v/>
      </c>
      <c r="D153" s="43" t="str">
        <f>IF(B153="","",IFERROR(INDEX(Assessment!$B$5:$B$2000,MATCH(B153,Assessment!$A$5:$A$2000,0)),"Not found"))</f>
        <v/>
      </c>
      <c r="E153" s="10"/>
      <c r="F153" s="10"/>
      <c r="G153" s="10"/>
      <c r="H153" s="10"/>
      <c r="I153" s="10"/>
      <c r="J153" s="14"/>
      <c r="K153" s="10"/>
      <c r="L153" s="14"/>
      <c r="M153" s="44" t="str">
        <f t="shared" ca="1" si="8"/>
        <v/>
      </c>
      <c r="N153" s="44" t="str">
        <f t="shared" ca="1" si="9"/>
        <v/>
      </c>
    </row>
    <row r="154" spans="1:14" x14ac:dyDescent="0.35">
      <c r="A154" s="10"/>
      <c r="B154" s="10"/>
      <c r="C154" s="43" t="str">
        <f>IF(B154="","",IFERROR(INDEX(Assessment!$E$5:$E$2000,MATCH(B154,Assessment!$A$5:$A$2000,0)),"Not found"))</f>
        <v/>
      </c>
      <c r="D154" s="43" t="str">
        <f>IF(B154="","",IFERROR(INDEX(Assessment!$B$5:$B$2000,MATCH(B154,Assessment!$A$5:$A$2000,0)),"Not found"))</f>
        <v/>
      </c>
      <c r="E154" s="10"/>
      <c r="F154" s="10"/>
      <c r="G154" s="10"/>
      <c r="H154" s="10"/>
      <c r="I154" s="10"/>
      <c r="J154" s="14"/>
      <c r="K154" s="10"/>
      <c r="L154" s="14"/>
      <c r="M154" s="44" t="str">
        <f t="shared" ca="1" si="8"/>
        <v/>
      </c>
      <c r="N154" s="44" t="str">
        <f t="shared" ca="1" si="9"/>
        <v/>
      </c>
    </row>
    <row r="155" spans="1:14" x14ac:dyDescent="0.35">
      <c r="A155" s="10"/>
      <c r="B155" s="10"/>
      <c r="C155" s="43" t="str">
        <f>IF(B155="","",IFERROR(INDEX(Assessment!$E$5:$E$2000,MATCH(B155,Assessment!$A$5:$A$2000,0)),"Not found"))</f>
        <v/>
      </c>
      <c r="D155" s="43" t="str">
        <f>IF(B155="","",IFERROR(INDEX(Assessment!$B$5:$B$2000,MATCH(B155,Assessment!$A$5:$A$2000,0)),"Not found"))</f>
        <v/>
      </c>
      <c r="E155" s="10"/>
      <c r="F155" s="10"/>
      <c r="G155" s="10"/>
      <c r="H155" s="10"/>
      <c r="I155" s="10"/>
      <c r="J155" s="14"/>
      <c r="K155" s="10"/>
      <c r="L155" s="14"/>
      <c r="M155" s="44" t="str">
        <f t="shared" ca="1" si="8"/>
        <v/>
      </c>
      <c r="N155" s="44" t="str">
        <f t="shared" ca="1" si="9"/>
        <v/>
      </c>
    </row>
    <row r="156" spans="1:14" x14ac:dyDescent="0.35">
      <c r="A156" s="10"/>
      <c r="B156" s="10"/>
      <c r="C156" s="43" t="str">
        <f>IF(B156="","",IFERROR(INDEX(Assessment!$E$5:$E$2000,MATCH(B156,Assessment!$A$5:$A$2000,0)),"Not found"))</f>
        <v/>
      </c>
      <c r="D156" s="43" t="str">
        <f>IF(B156="","",IFERROR(INDEX(Assessment!$B$5:$B$2000,MATCH(B156,Assessment!$A$5:$A$2000,0)),"Not found"))</f>
        <v/>
      </c>
      <c r="E156" s="10"/>
      <c r="F156" s="10"/>
      <c r="G156" s="10"/>
      <c r="H156" s="10"/>
      <c r="I156" s="10"/>
      <c r="J156" s="14"/>
      <c r="K156" s="10"/>
      <c r="L156" s="14"/>
      <c r="M156" s="44" t="str">
        <f t="shared" ca="1" si="8"/>
        <v/>
      </c>
      <c r="N156" s="44" t="str">
        <f t="shared" ca="1" si="9"/>
        <v/>
      </c>
    </row>
    <row r="157" spans="1:14" x14ac:dyDescent="0.35">
      <c r="A157" s="10"/>
      <c r="B157" s="10"/>
      <c r="C157" s="43" t="str">
        <f>IF(B157="","",IFERROR(INDEX(Assessment!$E$5:$E$2000,MATCH(B157,Assessment!$A$5:$A$2000,0)),"Not found"))</f>
        <v/>
      </c>
      <c r="D157" s="43" t="str">
        <f>IF(B157="","",IFERROR(INDEX(Assessment!$B$5:$B$2000,MATCH(B157,Assessment!$A$5:$A$2000,0)),"Not found"))</f>
        <v/>
      </c>
      <c r="E157" s="10"/>
      <c r="F157" s="10"/>
      <c r="G157" s="10"/>
      <c r="H157" s="10"/>
      <c r="I157" s="10"/>
      <c r="J157" s="14"/>
      <c r="K157" s="10"/>
      <c r="L157" s="14"/>
      <c r="M157" s="44" t="str">
        <f t="shared" ca="1" si="8"/>
        <v/>
      </c>
      <c r="N157" s="44" t="str">
        <f t="shared" ca="1" si="9"/>
        <v/>
      </c>
    </row>
    <row r="158" spans="1:14" x14ac:dyDescent="0.35">
      <c r="A158" s="10"/>
      <c r="B158" s="10"/>
      <c r="C158" s="43" t="str">
        <f>IF(B158="","",IFERROR(INDEX(Assessment!$E$5:$E$2000,MATCH(B158,Assessment!$A$5:$A$2000,0)),"Not found"))</f>
        <v/>
      </c>
      <c r="D158" s="43" t="str">
        <f>IF(B158="","",IFERROR(INDEX(Assessment!$B$5:$B$2000,MATCH(B158,Assessment!$A$5:$A$2000,0)),"Not found"))</f>
        <v/>
      </c>
      <c r="E158" s="10"/>
      <c r="F158" s="10"/>
      <c r="G158" s="10"/>
      <c r="H158" s="10"/>
      <c r="I158" s="10"/>
      <c r="J158" s="14"/>
      <c r="K158" s="10"/>
      <c r="L158" s="14"/>
      <c r="M158" s="44" t="str">
        <f t="shared" ca="1" si="8"/>
        <v/>
      </c>
      <c r="N158" s="44" t="str">
        <f t="shared" ca="1" si="9"/>
        <v/>
      </c>
    </row>
    <row r="159" spans="1:14" x14ac:dyDescent="0.35">
      <c r="A159" s="10"/>
      <c r="B159" s="10"/>
      <c r="C159" s="43" t="str">
        <f>IF(B159="","",IFERROR(INDEX(Assessment!$E$5:$E$2000,MATCH(B159,Assessment!$A$5:$A$2000,0)),"Not found"))</f>
        <v/>
      </c>
      <c r="D159" s="43" t="str">
        <f>IF(B159="","",IFERROR(INDEX(Assessment!$B$5:$B$2000,MATCH(B159,Assessment!$A$5:$A$2000,0)),"Not found"))</f>
        <v/>
      </c>
      <c r="E159" s="10"/>
      <c r="F159" s="10"/>
      <c r="G159" s="10"/>
      <c r="H159" s="10"/>
      <c r="I159" s="10"/>
      <c r="J159" s="14"/>
      <c r="K159" s="10"/>
      <c r="L159" s="14"/>
      <c r="M159" s="44" t="str">
        <f t="shared" ca="1" si="8"/>
        <v/>
      </c>
      <c r="N159" s="44" t="str">
        <f t="shared" ca="1" si="9"/>
        <v/>
      </c>
    </row>
    <row r="160" spans="1:14" x14ac:dyDescent="0.35">
      <c r="A160" s="10"/>
      <c r="B160" s="10"/>
      <c r="C160" s="43" t="str">
        <f>IF(B160="","",IFERROR(INDEX(Assessment!$E$5:$E$2000,MATCH(B160,Assessment!$A$5:$A$2000,0)),"Not found"))</f>
        <v/>
      </c>
      <c r="D160" s="43" t="str">
        <f>IF(B160="","",IFERROR(INDEX(Assessment!$B$5:$B$2000,MATCH(B160,Assessment!$A$5:$A$2000,0)),"Not found"))</f>
        <v/>
      </c>
      <c r="E160" s="10"/>
      <c r="F160" s="10"/>
      <c r="G160" s="10"/>
      <c r="H160" s="10"/>
      <c r="I160" s="10"/>
      <c r="J160" s="14"/>
      <c r="K160" s="10"/>
      <c r="L160" s="14"/>
      <c r="M160" s="44" t="str">
        <f t="shared" ca="1" si="8"/>
        <v/>
      </c>
      <c r="N160" s="44" t="str">
        <f t="shared" ca="1" si="9"/>
        <v/>
      </c>
    </row>
    <row r="161" spans="1:14" x14ac:dyDescent="0.35">
      <c r="A161" s="10"/>
      <c r="B161" s="10"/>
      <c r="C161" s="43" t="str">
        <f>IF(B161="","",IFERROR(INDEX(Assessment!$E$5:$E$2000,MATCH(B161,Assessment!$A$5:$A$2000,0)),"Not found"))</f>
        <v/>
      </c>
      <c r="D161" s="43" t="str">
        <f>IF(B161="","",IFERROR(INDEX(Assessment!$B$5:$B$2000,MATCH(B161,Assessment!$A$5:$A$2000,0)),"Not found"))</f>
        <v/>
      </c>
      <c r="E161" s="10"/>
      <c r="F161" s="10"/>
      <c r="G161" s="10"/>
      <c r="H161" s="10"/>
      <c r="I161" s="10"/>
      <c r="J161" s="14"/>
      <c r="K161" s="10"/>
      <c r="L161" s="14"/>
      <c r="M161" s="44" t="str">
        <f t="shared" ca="1" si="8"/>
        <v/>
      </c>
      <c r="N161" s="44" t="str">
        <f t="shared" ca="1" si="9"/>
        <v/>
      </c>
    </row>
    <row r="162" spans="1:14" x14ac:dyDescent="0.35">
      <c r="A162" s="10"/>
      <c r="B162" s="10"/>
      <c r="C162" s="43" t="str">
        <f>IF(B162="","",IFERROR(INDEX(Assessment!$E$5:$E$2000,MATCH(B162,Assessment!$A$5:$A$2000,0)),"Not found"))</f>
        <v/>
      </c>
      <c r="D162" s="43" t="str">
        <f>IF(B162="","",IFERROR(INDEX(Assessment!$B$5:$B$2000,MATCH(B162,Assessment!$A$5:$A$2000,0)),"Not found"))</f>
        <v/>
      </c>
      <c r="E162" s="10"/>
      <c r="F162" s="10"/>
      <c r="G162" s="10"/>
      <c r="H162" s="10"/>
      <c r="I162" s="10"/>
      <c r="J162" s="14"/>
      <c r="K162" s="10"/>
      <c r="L162" s="14"/>
      <c r="M162" s="44" t="str">
        <f t="shared" ca="1" si="8"/>
        <v/>
      </c>
      <c r="N162" s="44" t="str">
        <f t="shared" ca="1" si="9"/>
        <v/>
      </c>
    </row>
    <row r="163" spans="1:14" x14ac:dyDescent="0.35">
      <c r="A163" s="10"/>
      <c r="B163" s="10"/>
      <c r="C163" s="43" t="str">
        <f>IF(B163="","",IFERROR(INDEX(Assessment!$E$5:$E$2000,MATCH(B163,Assessment!$A$5:$A$2000,0)),"Not found"))</f>
        <v/>
      </c>
      <c r="D163" s="43" t="str">
        <f>IF(B163="","",IFERROR(INDEX(Assessment!$B$5:$B$2000,MATCH(B163,Assessment!$A$5:$A$2000,0)),"Not found"))</f>
        <v/>
      </c>
      <c r="E163" s="10"/>
      <c r="F163" s="10"/>
      <c r="G163" s="10"/>
      <c r="H163" s="10"/>
      <c r="I163" s="10"/>
      <c r="J163" s="14"/>
      <c r="K163" s="10"/>
      <c r="L163" s="14"/>
      <c r="M163" s="44" t="str">
        <f t="shared" ca="1" si="8"/>
        <v/>
      </c>
      <c r="N163" s="44" t="str">
        <f t="shared" ca="1" si="9"/>
        <v/>
      </c>
    </row>
    <row r="164" spans="1:14" x14ac:dyDescent="0.35">
      <c r="A164" s="10"/>
      <c r="B164" s="10"/>
      <c r="C164" s="43" t="str">
        <f>IF(B164="","",IFERROR(INDEX(Assessment!$E$5:$E$2000,MATCH(B164,Assessment!$A$5:$A$2000,0)),"Not found"))</f>
        <v/>
      </c>
      <c r="D164" s="43" t="str">
        <f>IF(B164="","",IFERROR(INDEX(Assessment!$B$5:$B$2000,MATCH(B164,Assessment!$A$5:$A$2000,0)),"Not found"))</f>
        <v/>
      </c>
      <c r="E164" s="10"/>
      <c r="F164" s="10"/>
      <c r="G164" s="10"/>
      <c r="H164" s="10"/>
      <c r="I164" s="10"/>
      <c r="J164" s="14"/>
      <c r="K164" s="10"/>
      <c r="L164" s="14"/>
      <c r="M164" s="44" t="str">
        <f t="shared" ca="1" si="8"/>
        <v/>
      </c>
      <c r="N164" s="44" t="str">
        <f t="shared" ca="1" si="9"/>
        <v/>
      </c>
    </row>
    <row r="165" spans="1:14" x14ac:dyDescent="0.35">
      <c r="A165" s="10"/>
      <c r="B165" s="10"/>
      <c r="C165" s="43" t="str">
        <f>IF(B165="","",IFERROR(INDEX(Assessment!$E$5:$E$2000,MATCH(B165,Assessment!$A$5:$A$2000,0)),"Not found"))</f>
        <v/>
      </c>
      <c r="D165" s="43" t="str">
        <f>IF(B165="","",IFERROR(INDEX(Assessment!$B$5:$B$2000,MATCH(B165,Assessment!$A$5:$A$2000,0)),"Not found"))</f>
        <v/>
      </c>
      <c r="E165" s="10"/>
      <c r="F165" s="10"/>
      <c r="G165" s="10"/>
      <c r="H165" s="10"/>
      <c r="I165" s="10"/>
      <c r="J165" s="14"/>
      <c r="K165" s="10"/>
      <c r="L165" s="14"/>
      <c r="M165" s="44" t="str">
        <f t="shared" ca="1" si="8"/>
        <v/>
      </c>
      <c r="N165" s="44" t="str">
        <f t="shared" ca="1" si="9"/>
        <v/>
      </c>
    </row>
    <row r="166" spans="1:14" x14ac:dyDescent="0.35">
      <c r="A166" s="10"/>
      <c r="B166" s="10"/>
      <c r="C166" s="43" t="str">
        <f>IF(B166="","",IFERROR(INDEX(Assessment!$E$5:$E$2000,MATCH(B166,Assessment!$A$5:$A$2000,0)),"Not found"))</f>
        <v/>
      </c>
      <c r="D166" s="43" t="str">
        <f>IF(B166="","",IFERROR(INDEX(Assessment!$B$5:$B$2000,MATCH(B166,Assessment!$A$5:$A$2000,0)),"Not found"))</f>
        <v/>
      </c>
      <c r="E166" s="10"/>
      <c r="F166" s="10"/>
      <c r="G166" s="10"/>
      <c r="H166" s="10"/>
      <c r="I166" s="10"/>
      <c r="J166" s="14"/>
      <c r="K166" s="10"/>
      <c r="L166" s="14"/>
      <c r="M166" s="44" t="str">
        <f t="shared" ref="M166:M197" ca="1" si="10">IF(OR(L166="",K166="Closed",K166="Risk Accepted"),"",TODAY()-L166)</f>
        <v/>
      </c>
      <c r="N166" s="44" t="str">
        <f t="shared" ref="N166:N197" ca="1" si="11">IF(OR(J166="",K166="Closed",K166="Risk Accepted",K166="Remediated"),"",IF(TODAY()&gt;J166,"Overdue",""))</f>
        <v/>
      </c>
    </row>
    <row r="167" spans="1:14" x14ac:dyDescent="0.35">
      <c r="A167" s="10"/>
      <c r="B167" s="10"/>
      <c r="C167" s="43" t="str">
        <f>IF(B167="","",IFERROR(INDEX(Assessment!$E$5:$E$2000,MATCH(B167,Assessment!$A$5:$A$2000,0)),"Not found"))</f>
        <v/>
      </c>
      <c r="D167" s="43" t="str">
        <f>IF(B167="","",IFERROR(INDEX(Assessment!$B$5:$B$2000,MATCH(B167,Assessment!$A$5:$A$2000,0)),"Not found"))</f>
        <v/>
      </c>
      <c r="E167" s="10"/>
      <c r="F167" s="10"/>
      <c r="G167" s="10"/>
      <c r="H167" s="10"/>
      <c r="I167" s="10"/>
      <c r="J167" s="14"/>
      <c r="K167" s="10"/>
      <c r="L167" s="14"/>
      <c r="M167" s="44" t="str">
        <f t="shared" ca="1" si="10"/>
        <v/>
      </c>
      <c r="N167" s="44" t="str">
        <f t="shared" ca="1" si="11"/>
        <v/>
      </c>
    </row>
    <row r="168" spans="1:14" x14ac:dyDescent="0.35">
      <c r="A168" s="10"/>
      <c r="B168" s="10"/>
      <c r="C168" s="43" t="str">
        <f>IF(B168="","",IFERROR(INDEX(Assessment!$E$5:$E$2000,MATCH(B168,Assessment!$A$5:$A$2000,0)),"Not found"))</f>
        <v/>
      </c>
      <c r="D168" s="43" t="str">
        <f>IF(B168="","",IFERROR(INDEX(Assessment!$B$5:$B$2000,MATCH(B168,Assessment!$A$5:$A$2000,0)),"Not found"))</f>
        <v/>
      </c>
      <c r="E168" s="10"/>
      <c r="F168" s="10"/>
      <c r="G168" s="10"/>
      <c r="H168" s="10"/>
      <c r="I168" s="10"/>
      <c r="J168" s="14"/>
      <c r="K168" s="10"/>
      <c r="L168" s="14"/>
      <c r="M168" s="44" t="str">
        <f t="shared" ca="1" si="10"/>
        <v/>
      </c>
      <c r="N168" s="44" t="str">
        <f t="shared" ca="1" si="11"/>
        <v/>
      </c>
    </row>
    <row r="169" spans="1:14" x14ac:dyDescent="0.35">
      <c r="A169" s="10"/>
      <c r="B169" s="10"/>
      <c r="C169" s="43" t="str">
        <f>IF(B169="","",IFERROR(INDEX(Assessment!$E$5:$E$2000,MATCH(B169,Assessment!$A$5:$A$2000,0)),"Not found"))</f>
        <v/>
      </c>
      <c r="D169" s="43" t="str">
        <f>IF(B169="","",IFERROR(INDEX(Assessment!$B$5:$B$2000,MATCH(B169,Assessment!$A$5:$A$2000,0)),"Not found"))</f>
        <v/>
      </c>
      <c r="E169" s="10"/>
      <c r="F169" s="10"/>
      <c r="G169" s="10"/>
      <c r="H169" s="10"/>
      <c r="I169" s="10"/>
      <c r="J169" s="14"/>
      <c r="K169" s="10"/>
      <c r="L169" s="14"/>
      <c r="M169" s="44" t="str">
        <f t="shared" ca="1" si="10"/>
        <v/>
      </c>
      <c r="N169" s="44" t="str">
        <f t="shared" ca="1" si="11"/>
        <v/>
      </c>
    </row>
    <row r="170" spans="1:14" x14ac:dyDescent="0.35">
      <c r="A170" s="10"/>
      <c r="B170" s="10"/>
      <c r="C170" s="43" t="str">
        <f>IF(B170="","",IFERROR(INDEX(Assessment!$E$5:$E$2000,MATCH(B170,Assessment!$A$5:$A$2000,0)),"Not found"))</f>
        <v/>
      </c>
      <c r="D170" s="43" t="str">
        <f>IF(B170="","",IFERROR(INDEX(Assessment!$B$5:$B$2000,MATCH(B170,Assessment!$A$5:$A$2000,0)),"Not found"))</f>
        <v/>
      </c>
      <c r="E170" s="10"/>
      <c r="F170" s="10"/>
      <c r="G170" s="10"/>
      <c r="H170" s="10"/>
      <c r="I170" s="10"/>
      <c r="J170" s="14"/>
      <c r="K170" s="10"/>
      <c r="L170" s="14"/>
      <c r="M170" s="44" t="str">
        <f t="shared" ca="1" si="10"/>
        <v/>
      </c>
      <c r="N170" s="44" t="str">
        <f t="shared" ca="1" si="11"/>
        <v/>
      </c>
    </row>
    <row r="171" spans="1:14" x14ac:dyDescent="0.35">
      <c r="A171" s="10"/>
      <c r="B171" s="10"/>
      <c r="C171" s="43" t="str">
        <f>IF(B171="","",IFERROR(INDEX(Assessment!$E$5:$E$2000,MATCH(B171,Assessment!$A$5:$A$2000,0)),"Not found"))</f>
        <v/>
      </c>
      <c r="D171" s="43" t="str">
        <f>IF(B171="","",IFERROR(INDEX(Assessment!$B$5:$B$2000,MATCH(B171,Assessment!$A$5:$A$2000,0)),"Not found"))</f>
        <v/>
      </c>
      <c r="E171" s="10"/>
      <c r="F171" s="10"/>
      <c r="G171" s="10"/>
      <c r="H171" s="10"/>
      <c r="I171" s="10"/>
      <c r="J171" s="14"/>
      <c r="K171" s="10"/>
      <c r="L171" s="14"/>
      <c r="M171" s="44" t="str">
        <f t="shared" ca="1" si="10"/>
        <v/>
      </c>
      <c r="N171" s="44" t="str">
        <f t="shared" ca="1" si="11"/>
        <v/>
      </c>
    </row>
    <row r="172" spans="1:14" x14ac:dyDescent="0.35">
      <c r="A172" s="10"/>
      <c r="B172" s="10"/>
      <c r="C172" s="43" t="str">
        <f>IF(B172="","",IFERROR(INDEX(Assessment!$E$5:$E$2000,MATCH(B172,Assessment!$A$5:$A$2000,0)),"Not found"))</f>
        <v/>
      </c>
      <c r="D172" s="43" t="str">
        <f>IF(B172="","",IFERROR(INDEX(Assessment!$B$5:$B$2000,MATCH(B172,Assessment!$A$5:$A$2000,0)),"Not found"))</f>
        <v/>
      </c>
      <c r="E172" s="10"/>
      <c r="F172" s="10"/>
      <c r="G172" s="10"/>
      <c r="H172" s="10"/>
      <c r="I172" s="10"/>
      <c r="J172" s="14"/>
      <c r="K172" s="10"/>
      <c r="L172" s="14"/>
      <c r="M172" s="44" t="str">
        <f t="shared" ca="1" si="10"/>
        <v/>
      </c>
      <c r="N172" s="44" t="str">
        <f t="shared" ca="1" si="11"/>
        <v/>
      </c>
    </row>
    <row r="173" spans="1:14" x14ac:dyDescent="0.35">
      <c r="A173" s="10"/>
      <c r="B173" s="10"/>
      <c r="C173" s="43" t="str">
        <f>IF(B173="","",IFERROR(INDEX(Assessment!$E$5:$E$2000,MATCH(B173,Assessment!$A$5:$A$2000,0)),"Not found"))</f>
        <v/>
      </c>
      <c r="D173" s="43" t="str">
        <f>IF(B173="","",IFERROR(INDEX(Assessment!$B$5:$B$2000,MATCH(B173,Assessment!$A$5:$A$2000,0)),"Not found"))</f>
        <v/>
      </c>
      <c r="E173" s="10"/>
      <c r="F173" s="10"/>
      <c r="G173" s="10"/>
      <c r="H173" s="10"/>
      <c r="I173" s="10"/>
      <c r="J173" s="14"/>
      <c r="K173" s="10"/>
      <c r="L173" s="14"/>
      <c r="M173" s="44" t="str">
        <f t="shared" ca="1" si="10"/>
        <v/>
      </c>
      <c r="N173" s="44" t="str">
        <f t="shared" ca="1" si="11"/>
        <v/>
      </c>
    </row>
    <row r="174" spans="1:14" x14ac:dyDescent="0.35">
      <c r="A174" s="10"/>
      <c r="B174" s="10"/>
      <c r="C174" s="43" t="str">
        <f>IF(B174="","",IFERROR(INDEX(Assessment!$E$5:$E$2000,MATCH(B174,Assessment!$A$5:$A$2000,0)),"Not found"))</f>
        <v/>
      </c>
      <c r="D174" s="43" t="str">
        <f>IF(B174="","",IFERROR(INDEX(Assessment!$B$5:$B$2000,MATCH(B174,Assessment!$A$5:$A$2000,0)),"Not found"))</f>
        <v/>
      </c>
      <c r="E174" s="10"/>
      <c r="F174" s="10"/>
      <c r="G174" s="10"/>
      <c r="H174" s="10"/>
      <c r="I174" s="10"/>
      <c r="J174" s="14"/>
      <c r="K174" s="10"/>
      <c r="L174" s="14"/>
      <c r="M174" s="44" t="str">
        <f t="shared" ca="1" si="10"/>
        <v/>
      </c>
      <c r="N174" s="44" t="str">
        <f t="shared" ca="1" si="11"/>
        <v/>
      </c>
    </row>
    <row r="175" spans="1:14" x14ac:dyDescent="0.35">
      <c r="A175" s="10"/>
      <c r="B175" s="10"/>
      <c r="C175" s="43" t="str">
        <f>IF(B175="","",IFERROR(INDEX(Assessment!$E$5:$E$2000,MATCH(B175,Assessment!$A$5:$A$2000,0)),"Not found"))</f>
        <v/>
      </c>
      <c r="D175" s="43" t="str">
        <f>IF(B175="","",IFERROR(INDEX(Assessment!$B$5:$B$2000,MATCH(B175,Assessment!$A$5:$A$2000,0)),"Not found"))</f>
        <v/>
      </c>
      <c r="E175" s="10"/>
      <c r="F175" s="10"/>
      <c r="G175" s="10"/>
      <c r="H175" s="10"/>
      <c r="I175" s="10"/>
      <c r="J175" s="14"/>
      <c r="K175" s="10"/>
      <c r="L175" s="14"/>
      <c r="M175" s="44" t="str">
        <f t="shared" ca="1" si="10"/>
        <v/>
      </c>
      <c r="N175" s="44" t="str">
        <f t="shared" ca="1" si="11"/>
        <v/>
      </c>
    </row>
    <row r="176" spans="1:14" x14ac:dyDescent="0.35">
      <c r="A176" s="10"/>
      <c r="B176" s="10"/>
      <c r="C176" s="43" t="str">
        <f>IF(B176="","",IFERROR(INDEX(Assessment!$E$5:$E$2000,MATCH(B176,Assessment!$A$5:$A$2000,0)),"Not found"))</f>
        <v/>
      </c>
      <c r="D176" s="43" t="str">
        <f>IF(B176="","",IFERROR(INDEX(Assessment!$B$5:$B$2000,MATCH(B176,Assessment!$A$5:$A$2000,0)),"Not found"))</f>
        <v/>
      </c>
      <c r="E176" s="10"/>
      <c r="F176" s="10"/>
      <c r="G176" s="10"/>
      <c r="H176" s="10"/>
      <c r="I176" s="10"/>
      <c r="J176" s="14"/>
      <c r="K176" s="10"/>
      <c r="L176" s="14"/>
      <c r="M176" s="44" t="str">
        <f t="shared" ca="1" si="10"/>
        <v/>
      </c>
      <c r="N176" s="44" t="str">
        <f t="shared" ca="1" si="11"/>
        <v/>
      </c>
    </row>
    <row r="177" spans="1:14" x14ac:dyDescent="0.35">
      <c r="A177" s="10"/>
      <c r="B177" s="10"/>
      <c r="C177" s="43" t="str">
        <f>IF(B177="","",IFERROR(INDEX(Assessment!$E$5:$E$2000,MATCH(B177,Assessment!$A$5:$A$2000,0)),"Not found"))</f>
        <v/>
      </c>
      <c r="D177" s="43" t="str">
        <f>IF(B177="","",IFERROR(INDEX(Assessment!$B$5:$B$2000,MATCH(B177,Assessment!$A$5:$A$2000,0)),"Not found"))</f>
        <v/>
      </c>
      <c r="E177" s="10"/>
      <c r="F177" s="10"/>
      <c r="G177" s="10"/>
      <c r="H177" s="10"/>
      <c r="I177" s="10"/>
      <c r="J177" s="14"/>
      <c r="K177" s="10"/>
      <c r="L177" s="14"/>
      <c r="M177" s="44" t="str">
        <f t="shared" ca="1" si="10"/>
        <v/>
      </c>
      <c r="N177" s="44" t="str">
        <f t="shared" ca="1" si="11"/>
        <v/>
      </c>
    </row>
    <row r="178" spans="1:14" x14ac:dyDescent="0.35">
      <c r="A178" s="10"/>
      <c r="B178" s="10"/>
      <c r="C178" s="43" t="str">
        <f>IF(B178="","",IFERROR(INDEX(Assessment!$E$5:$E$2000,MATCH(B178,Assessment!$A$5:$A$2000,0)),"Not found"))</f>
        <v/>
      </c>
      <c r="D178" s="43" t="str">
        <f>IF(B178="","",IFERROR(INDEX(Assessment!$B$5:$B$2000,MATCH(B178,Assessment!$A$5:$A$2000,0)),"Not found"))</f>
        <v/>
      </c>
      <c r="E178" s="10"/>
      <c r="F178" s="10"/>
      <c r="G178" s="10"/>
      <c r="H178" s="10"/>
      <c r="I178" s="10"/>
      <c r="J178" s="14"/>
      <c r="K178" s="10"/>
      <c r="L178" s="14"/>
      <c r="M178" s="44" t="str">
        <f t="shared" ca="1" si="10"/>
        <v/>
      </c>
      <c r="N178" s="44" t="str">
        <f t="shared" ca="1" si="11"/>
        <v/>
      </c>
    </row>
    <row r="179" spans="1:14" x14ac:dyDescent="0.35">
      <c r="A179" s="10"/>
      <c r="B179" s="10"/>
      <c r="C179" s="43" t="str">
        <f>IF(B179="","",IFERROR(INDEX(Assessment!$E$5:$E$2000,MATCH(B179,Assessment!$A$5:$A$2000,0)),"Not found"))</f>
        <v/>
      </c>
      <c r="D179" s="43" t="str">
        <f>IF(B179="","",IFERROR(INDEX(Assessment!$B$5:$B$2000,MATCH(B179,Assessment!$A$5:$A$2000,0)),"Not found"))</f>
        <v/>
      </c>
      <c r="E179" s="10"/>
      <c r="F179" s="10"/>
      <c r="G179" s="10"/>
      <c r="H179" s="10"/>
      <c r="I179" s="10"/>
      <c r="J179" s="14"/>
      <c r="K179" s="10"/>
      <c r="L179" s="14"/>
      <c r="M179" s="44" t="str">
        <f t="shared" ca="1" si="10"/>
        <v/>
      </c>
      <c r="N179" s="44" t="str">
        <f t="shared" ca="1" si="11"/>
        <v/>
      </c>
    </row>
    <row r="180" spans="1:14" x14ac:dyDescent="0.35">
      <c r="A180" s="10"/>
      <c r="B180" s="10"/>
      <c r="C180" s="43" t="str">
        <f>IF(B180="","",IFERROR(INDEX(Assessment!$E$5:$E$2000,MATCH(B180,Assessment!$A$5:$A$2000,0)),"Not found"))</f>
        <v/>
      </c>
      <c r="D180" s="43" t="str">
        <f>IF(B180="","",IFERROR(INDEX(Assessment!$B$5:$B$2000,MATCH(B180,Assessment!$A$5:$A$2000,0)),"Not found"))</f>
        <v/>
      </c>
      <c r="E180" s="10"/>
      <c r="F180" s="10"/>
      <c r="G180" s="10"/>
      <c r="H180" s="10"/>
      <c r="I180" s="10"/>
      <c r="J180" s="14"/>
      <c r="K180" s="10"/>
      <c r="L180" s="14"/>
      <c r="M180" s="44" t="str">
        <f t="shared" ca="1" si="10"/>
        <v/>
      </c>
      <c r="N180" s="44" t="str">
        <f t="shared" ca="1" si="11"/>
        <v/>
      </c>
    </row>
    <row r="181" spans="1:14" x14ac:dyDescent="0.35">
      <c r="A181" s="10"/>
      <c r="B181" s="10"/>
      <c r="C181" s="43" t="str">
        <f>IF(B181="","",IFERROR(INDEX(Assessment!$E$5:$E$2000,MATCH(B181,Assessment!$A$5:$A$2000,0)),"Not found"))</f>
        <v/>
      </c>
      <c r="D181" s="43" t="str">
        <f>IF(B181="","",IFERROR(INDEX(Assessment!$B$5:$B$2000,MATCH(B181,Assessment!$A$5:$A$2000,0)),"Not found"))</f>
        <v/>
      </c>
      <c r="E181" s="10"/>
      <c r="F181" s="10"/>
      <c r="G181" s="10"/>
      <c r="H181" s="10"/>
      <c r="I181" s="10"/>
      <c r="J181" s="14"/>
      <c r="K181" s="10"/>
      <c r="L181" s="14"/>
      <c r="M181" s="44" t="str">
        <f t="shared" ca="1" si="10"/>
        <v/>
      </c>
      <c r="N181" s="44" t="str">
        <f t="shared" ca="1" si="11"/>
        <v/>
      </c>
    </row>
    <row r="182" spans="1:14" x14ac:dyDescent="0.35">
      <c r="A182" s="10"/>
      <c r="B182" s="10"/>
      <c r="C182" s="43" t="str">
        <f>IF(B182="","",IFERROR(INDEX(Assessment!$E$5:$E$2000,MATCH(B182,Assessment!$A$5:$A$2000,0)),"Not found"))</f>
        <v/>
      </c>
      <c r="D182" s="43" t="str">
        <f>IF(B182="","",IFERROR(INDEX(Assessment!$B$5:$B$2000,MATCH(B182,Assessment!$A$5:$A$2000,0)),"Not found"))</f>
        <v/>
      </c>
      <c r="E182" s="10"/>
      <c r="F182" s="10"/>
      <c r="G182" s="10"/>
      <c r="H182" s="10"/>
      <c r="I182" s="10"/>
      <c r="J182" s="14"/>
      <c r="K182" s="10"/>
      <c r="L182" s="14"/>
      <c r="M182" s="44" t="str">
        <f t="shared" ca="1" si="10"/>
        <v/>
      </c>
      <c r="N182" s="44" t="str">
        <f t="shared" ca="1" si="11"/>
        <v/>
      </c>
    </row>
    <row r="183" spans="1:14" x14ac:dyDescent="0.35">
      <c r="A183" s="10"/>
      <c r="B183" s="10"/>
      <c r="C183" s="43" t="str">
        <f>IF(B183="","",IFERROR(INDEX(Assessment!$E$5:$E$2000,MATCH(B183,Assessment!$A$5:$A$2000,0)),"Not found"))</f>
        <v/>
      </c>
      <c r="D183" s="43" t="str">
        <f>IF(B183="","",IFERROR(INDEX(Assessment!$B$5:$B$2000,MATCH(B183,Assessment!$A$5:$A$2000,0)),"Not found"))</f>
        <v/>
      </c>
      <c r="E183" s="10"/>
      <c r="F183" s="10"/>
      <c r="G183" s="10"/>
      <c r="H183" s="10"/>
      <c r="I183" s="10"/>
      <c r="J183" s="14"/>
      <c r="K183" s="10"/>
      <c r="L183" s="14"/>
      <c r="M183" s="44" t="str">
        <f t="shared" ca="1" si="10"/>
        <v/>
      </c>
      <c r="N183" s="44" t="str">
        <f t="shared" ca="1" si="11"/>
        <v/>
      </c>
    </row>
    <row r="184" spans="1:14" x14ac:dyDescent="0.35">
      <c r="A184" s="10"/>
      <c r="B184" s="10"/>
      <c r="C184" s="43" t="str">
        <f>IF(B184="","",IFERROR(INDEX(Assessment!$E$5:$E$2000,MATCH(B184,Assessment!$A$5:$A$2000,0)),"Not found"))</f>
        <v/>
      </c>
      <c r="D184" s="43" t="str">
        <f>IF(B184="","",IFERROR(INDEX(Assessment!$B$5:$B$2000,MATCH(B184,Assessment!$A$5:$A$2000,0)),"Not found"))</f>
        <v/>
      </c>
      <c r="E184" s="10"/>
      <c r="F184" s="10"/>
      <c r="G184" s="10"/>
      <c r="H184" s="10"/>
      <c r="I184" s="10"/>
      <c r="J184" s="14"/>
      <c r="K184" s="10"/>
      <c r="L184" s="14"/>
      <c r="M184" s="44" t="str">
        <f t="shared" ca="1" si="10"/>
        <v/>
      </c>
      <c r="N184" s="44" t="str">
        <f t="shared" ca="1" si="11"/>
        <v/>
      </c>
    </row>
    <row r="185" spans="1:14" x14ac:dyDescent="0.35">
      <c r="A185" s="10"/>
      <c r="B185" s="10"/>
      <c r="C185" s="43" t="str">
        <f>IF(B185="","",IFERROR(INDEX(Assessment!$E$5:$E$2000,MATCH(B185,Assessment!$A$5:$A$2000,0)),"Not found"))</f>
        <v/>
      </c>
      <c r="D185" s="43" t="str">
        <f>IF(B185="","",IFERROR(INDEX(Assessment!$B$5:$B$2000,MATCH(B185,Assessment!$A$5:$A$2000,0)),"Not found"))</f>
        <v/>
      </c>
      <c r="E185" s="10"/>
      <c r="F185" s="10"/>
      <c r="G185" s="10"/>
      <c r="H185" s="10"/>
      <c r="I185" s="10"/>
      <c r="J185" s="14"/>
      <c r="K185" s="10"/>
      <c r="L185" s="14"/>
      <c r="M185" s="44" t="str">
        <f t="shared" ca="1" si="10"/>
        <v/>
      </c>
      <c r="N185" s="44" t="str">
        <f t="shared" ca="1" si="11"/>
        <v/>
      </c>
    </row>
    <row r="186" spans="1:14" x14ac:dyDescent="0.35">
      <c r="A186" s="10"/>
      <c r="B186" s="10"/>
      <c r="C186" s="43" t="str">
        <f>IF(B186="","",IFERROR(INDEX(Assessment!$E$5:$E$2000,MATCH(B186,Assessment!$A$5:$A$2000,0)),"Not found"))</f>
        <v/>
      </c>
      <c r="D186" s="43" t="str">
        <f>IF(B186="","",IFERROR(INDEX(Assessment!$B$5:$B$2000,MATCH(B186,Assessment!$A$5:$A$2000,0)),"Not found"))</f>
        <v/>
      </c>
      <c r="E186" s="10"/>
      <c r="F186" s="10"/>
      <c r="G186" s="10"/>
      <c r="H186" s="10"/>
      <c r="I186" s="10"/>
      <c r="J186" s="14"/>
      <c r="K186" s="10"/>
      <c r="L186" s="14"/>
      <c r="M186" s="44" t="str">
        <f t="shared" ca="1" si="10"/>
        <v/>
      </c>
      <c r="N186" s="44" t="str">
        <f t="shared" ca="1" si="11"/>
        <v/>
      </c>
    </row>
    <row r="187" spans="1:14" x14ac:dyDescent="0.35">
      <c r="A187" s="10"/>
      <c r="B187" s="10"/>
      <c r="C187" s="43" t="str">
        <f>IF(B187="","",IFERROR(INDEX(Assessment!$E$5:$E$2000,MATCH(B187,Assessment!$A$5:$A$2000,0)),"Not found"))</f>
        <v/>
      </c>
      <c r="D187" s="43" t="str">
        <f>IF(B187="","",IFERROR(INDEX(Assessment!$B$5:$B$2000,MATCH(B187,Assessment!$A$5:$A$2000,0)),"Not found"))</f>
        <v/>
      </c>
      <c r="E187" s="10"/>
      <c r="F187" s="10"/>
      <c r="G187" s="10"/>
      <c r="H187" s="10"/>
      <c r="I187" s="10"/>
      <c r="J187" s="14"/>
      <c r="K187" s="10"/>
      <c r="L187" s="14"/>
      <c r="M187" s="44" t="str">
        <f t="shared" ca="1" si="10"/>
        <v/>
      </c>
      <c r="N187" s="44" t="str">
        <f t="shared" ca="1" si="11"/>
        <v/>
      </c>
    </row>
    <row r="188" spans="1:14" x14ac:dyDescent="0.35">
      <c r="A188" s="10"/>
      <c r="B188" s="10"/>
      <c r="C188" s="43" t="str">
        <f>IF(B188="","",IFERROR(INDEX(Assessment!$E$5:$E$2000,MATCH(B188,Assessment!$A$5:$A$2000,0)),"Not found"))</f>
        <v/>
      </c>
      <c r="D188" s="43" t="str">
        <f>IF(B188="","",IFERROR(INDEX(Assessment!$B$5:$B$2000,MATCH(B188,Assessment!$A$5:$A$2000,0)),"Not found"))</f>
        <v/>
      </c>
      <c r="E188" s="10"/>
      <c r="F188" s="10"/>
      <c r="G188" s="10"/>
      <c r="H188" s="10"/>
      <c r="I188" s="10"/>
      <c r="J188" s="14"/>
      <c r="K188" s="10"/>
      <c r="L188" s="14"/>
      <c r="M188" s="44" t="str">
        <f t="shared" ca="1" si="10"/>
        <v/>
      </c>
      <c r="N188" s="44" t="str">
        <f t="shared" ca="1" si="11"/>
        <v/>
      </c>
    </row>
    <row r="189" spans="1:14" x14ac:dyDescent="0.35">
      <c r="A189" s="10"/>
      <c r="B189" s="10"/>
      <c r="C189" s="43" t="str">
        <f>IF(B189="","",IFERROR(INDEX(Assessment!$E$5:$E$2000,MATCH(B189,Assessment!$A$5:$A$2000,0)),"Not found"))</f>
        <v/>
      </c>
      <c r="D189" s="43" t="str">
        <f>IF(B189="","",IFERROR(INDEX(Assessment!$B$5:$B$2000,MATCH(B189,Assessment!$A$5:$A$2000,0)),"Not found"))</f>
        <v/>
      </c>
      <c r="E189" s="10"/>
      <c r="F189" s="10"/>
      <c r="G189" s="10"/>
      <c r="H189" s="10"/>
      <c r="I189" s="10"/>
      <c r="J189" s="14"/>
      <c r="K189" s="10"/>
      <c r="L189" s="14"/>
      <c r="M189" s="44" t="str">
        <f t="shared" ca="1" si="10"/>
        <v/>
      </c>
      <c r="N189" s="44" t="str">
        <f t="shared" ca="1" si="11"/>
        <v/>
      </c>
    </row>
    <row r="190" spans="1:14" x14ac:dyDescent="0.35">
      <c r="A190" s="10"/>
      <c r="B190" s="10"/>
      <c r="C190" s="43" t="str">
        <f>IF(B190="","",IFERROR(INDEX(Assessment!$E$5:$E$2000,MATCH(B190,Assessment!$A$5:$A$2000,0)),"Not found"))</f>
        <v/>
      </c>
      <c r="D190" s="43" t="str">
        <f>IF(B190="","",IFERROR(INDEX(Assessment!$B$5:$B$2000,MATCH(B190,Assessment!$A$5:$A$2000,0)),"Not found"))</f>
        <v/>
      </c>
      <c r="E190" s="10"/>
      <c r="F190" s="10"/>
      <c r="G190" s="10"/>
      <c r="H190" s="10"/>
      <c r="I190" s="10"/>
      <c r="J190" s="14"/>
      <c r="K190" s="10"/>
      <c r="L190" s="14"/>
      <c r="M190" s="44" t="str">
        <f t="shared" ca="1" si="10"/>
        <v/>
      </c>
      <c r="N190" s="44" t="str">
        <f t="shared" ca="1" si="11"/>
        <v/>
      </c>
    </row>
    <row r="191" spans="1:14" x14ac:dyDescent="0.35">
      <c r="A191" s="10"/>
      <c r="B191" s="10"/>
      <c r="C191" s="43" t="str">
        <f>IF(B191="","",IFERROR(INDEX(Assessment!$E$5:$E$2000,MATCH(B191,Assessment!$A$5:$A$2000,0)),"Not found"))</f>
        <v/>
      </c>
      <c r="D191" s="43" t="str">
        <f>IF(B191="","",IFERROR(INDEX(Assessment!$B$5:$B$2000,MATCH(B191,Assessment!$A$5:$A$2000,0)),"Not found"))</f>
        <v/>
      </c>
      <c r="E191" s="10"/>
      <c r="F191" s="10"/>
      <c r="G191" s="10"/>
      <c r="H191" s="10"/>
      <c r="I191" s="10"/>
      <c r="J191" s="14"/>
      <c r="K191" s="10"/>
      <c r="L191" s="14"/>
      <c r="M191" s="44" t="str">
        <f t="shared" ca="1" si="10"/>
        <v/>
      </c>
      <c r="N191" s="44" t="str">
        <f t="shared" ca="1" si="11"/>
        <v/>
      </c>
    </row>
    <row r="192" spans="1:14" x14ac:dyDescent="0.35">
      <c r="A192" s="10"/>
      <c r="B192" s="10"/>
      <c r="C192" s="43" t="str">
        <f>IF(B192="","",IFERROR(INDEX(Assessment!$E$5:$E$2000,MATCH(B192,Assessment!$A$5:$A$2000,0)),"Not found"))</f>
        <v/>
      </c>
      <c r="D192" s="43" t="str">
        <f>IF(B192="","",IFERROR(INDEX(Assessment!$B$5:$B$2000,MATCH(B192,Assessment!$A$5:$A$2000,0)),"Not found"))</f>
        <v/>
      </c>
      <c r="E192" s="10"/>
      <c r="F192" s="10"/>
      <c r="G192" s="10"/>
      <c r="H192" s="10"/>
      <c r="I192" s="10"/>
      <c r="J192" s="14"/>
      <c r="K192" s="10"/>
      <c r="L192" s="14"/>
      <c r="M192" s="44" t="str">
        <f t="shared" ca="1" si="10"/>
        <v/>
      </c>
      <c r="N192" s="44" t="str">
        <f t="shared" ca="1" si="11"/>
        <v/>
      </c>
    </row>
    <row r="193" spans="1:14" x14ac:dyDescent="0.35">
      <c r="A193" s="10"/>
      <c r="B193" s="10"/>
      <c r="C193" s="43" t="str">
        <f>IF(B193="","",IFERROR(INDEX(Assessment!$E$5:$E$2000,MATCH(B193,Assessment!$A$5:$A$2000,0)),"Not found"))</f>
        <v/>
      </c>
      <c r="D193" s="43" t="str">
        <f>IF(B193="","",IFERROR(INDEX(Assessment!$B$5:$B$2000,MATCH(B193,Assessment!$A$5:$A$2000,0)),"Not found"))</f>
        <v/>
      </c>
      <c r="E193" s="10"/>
      <c r="F193" s="10"/>
      <c r="G193" s="10"/>
      <c r="H193" s="10"/>
      <c r="I193" s="10"/>
      <c r="J193" s="14"/>
      <c r="K193" s="10"/>
      <c r="L193" s="14"/>
      <c r="M193" s="44" t="str">
        <f t="shared" ca="1" si="10"/>
        <v/>
      </c>
      <c r="N193" s="44" t="str">
        <f t="shared" ca="1" si="11"/>
        <v/>
      </c>
    </row>
    <row r="194" spans="1:14" x14ac:dyDescent="0.35">
      <c r="A194" s="10"/>
      <c r="B194" s="10"/>
      <c r="C194" s="43" t="str">
        <f>IF(B194="","",IFERROR(INDEX(Assessment!$E$5:$E$2000,MATCH(B194,Assessment!$A$5:$A$2000,0)),"Not found"))</f>
        <v/>
      </c>
      <c r="D194" s="43" t="str">
        <f>IF(B194="","",IFERROR(INDEX(Assessment!$B$5:$B$2000,MATCH(B194,Assessment!$A$5:$A$2000,0)),"Not found"))</f>
        <v/>
      </c>
      <c r="E194" s="10"/>
      <c r="F194" s="10"/>
      <c r="G194" s="10"/>
      <c r="H194" s="10"/>
      <c r="I194" s="10"/>
      <c r="J194" s="14"/>
      <c r="K194" s="10"/>
      <c r="L194" s="14"/>
      <c r="M194" s="44" t="str">
        <f t="shared" ca="1" si="10"/>
        <v/>
      </c>
      <c r="N194" s="44" t="str">
        <f t="shared" ca="1" si="11"/>
        <v/>
      </c>
    </row>
    <row r="195" spans="1:14" x14ac:dyDescent="0.35">
      <c r="A195" s="10"/>
      <c r="B195" s="10"/>
      <c r="C195" s="43" t="str">
        <f>IF(B195="","",IFERROR(INDEX(Assessment!$E$5:$E$2000,MATCH(B195,Assessment!$A$5:$A$2000,0)),"Not found"))</f>
        <v/>
      </c>
      <c r="D195" s="43" t="str">
        <f>IF(B195="","",IFERROR(INDEX(Assessment!$B$5:$B$2000,MATCH(B195,Assessment!$A$5:$A$2000,0)),"Not found"))</f>
        <v/>
      </c>
      <c r="E195" s="10"/>
      <c r="F195" s="10"/>
      <c r="G195" s="10"/>
      <c r="H195" s="10"/>
      <c r="I195" s="10"/>
      <c r="J195" s="14"/>
      <c r="K195" s="10"/>
      <c r="L195" s="14"/>
      <c r="M195" s="44" t="str">
        <f t="shared" ca="1" si="10"/>
        <v/>
      </c>
      <c r="N195" s="44" t="str">
        <f t="shared" ca="1" si="11"/>
        <v/>
      </c>
    </row>
    <row r="196" spans="1:14" x14ac:dyDescent="0.35">
      <c r="A196" s="10"/>
      <c r="B196" s="10"/>
      <c r="C196" s="43" t="str">
        <f>IF(B196="","",IFERROR(INDEX(Assessment!$E$5:$E$2000,MATCH(B196,Assessment!$A$5:$A$2000,0)),"Not found"))</f>
        <v/>
      </c>
      <c r="D196" s="43" t="str">
        <f>IF(B196="","",IFERROR(INDEX(Assessment!$B$5:$B$2000,MATCH(B196,Assessment!$A$5:$A$2000,0)),"Not found"))</f>
        <v/>
      </c>
      <c r="E196" s="10"/>
      <c r="F196" s="10"/>
      <c r="G196" s="10"/>
      <c r="H196" s="10"/>
      <c r="I196" s="10"/>
      <c r="J196" s="14"/>
      <c r="K196" s="10"/>
      <c r="L196" s="14"/>
      <c r="M196" s="44" t="str">
        <f t="shared" ca="1" si="10"/>
        <v/>
      </c>
      <c r="N196" s="44" t="str">
        <f t="shared" ca="1" si="11"/>
        <v/>
      </c>
    </row>
    <row r="197" spans="1:14" x14ac:dyDescent="0.35">
      <c r="A197" s="10"/>
      <c r="B197" s="10"/>
      <c r="C197" s="43" t="str">
        <f>IF(B197="","",IFERROR(INDEX(Assessment!$E$5:$E$2000,MATCH(B197,Assessment!$A$5:$A$2000,0)),"Not found"))</f>
        <v/>
      </c>
      <c r="D197" s="43" t="str">
        <f>IF(B197="","",IFERROR(INDEX(Assessment!$B$5:$B$2000,MATCH(B197,Assessment!$A$5:$A$2000,0)),"Not found"))</f>
        <v/>
      </c>
      <c r="E197" s="10"/>
      <c r="F197" s="10"/>
      <c r="G197" s="10"/>
      <c r="H197" s="10"/>
      <c r="I197" s="10"/>
      <c r="J197" s="14"/>
      <c r="K197" s="10"/>
      <c r="L197" s="14"/>
      <c r="M197" s="44" t="str">
        <f t="shared" ca="1" si="10"/>
        <v/>
      </c>
      <c r="N197" s="44" t="str">
        <f t="shared" ca="1" si="11"/>
        <v/>
      </c>
    </row>
    <row r="198" spans="1:14" x14ac:dyDescent="0.35">
      <c r="A198" s="10"/>
      <c r="B198" s="10"/>
      <c r="C198" s="43" t="str">
        <f>IF(B198="","",IFERROR(INDEX(Assessment!$E$5:$E$2000,MATCH(B198,Assessment!$A$5:$A$2000,0)),"Not found"))</f>
        <v/>
      </c>
      <c r="D198" s="43" t="str">
        <f>IF(B198="","",IFERROR(INDEX(Assessment!$B$5:$B$2000,MATCH(B198,Assessment!$A$5:$A$2000,0)),"Not found"))</f>
        <v/>
      </c>
      <c r="E198" s="10"/>
      <c r="F198" s="10"/>
      <c r="G198" s="10"/>
      <c r="H198" s="10"/>
      <c r="I198" s="10"/>
      <c r="J198" s="14"/>
      <c r="K198" s="10"/>
      <c r="L198" s="14"/>
      <c r="M198" s="44" t="str">
        <f t="shared" ref="M198:M229" ca="1" si="12">IF(OR(L198="",K198="Closed",K198="Risk Accepted"),"",TODAY()-L198)</f>
        <v/>
      </c>
      <c r="N198" s="44" t="str">
        <f t="shared" ref="N198:N205" ca="1" si="13">IF(OR(J198="",K198="Closed",K198="Risk Accepted",K198="Remediated"),"",IF(TODAY()&gt;J198,"Overdue",""))</f>
        <v/>
      </c>
    </row>
    <row r="199" spans="1:14" x14ac:dyDescent="0.35">
      <c r="A199" s="10"/>
      <c r="B199" s="10"/>
      <c r="C199" s="43" t="str">
        <f>IF(B199="","",IFERROR(INDEX(Assessment!$E$5:$E$2000,MATCH(B199,Assessment!$A$5:$A$2000,0)),"Not found"))</f>
        <v/>
      </c>
      <c r="D199" s="43" t="str">
        <f>IF(B199="","",IFERROR(INDEX(Assessment!$B$5:$B$2000,MATCH(B199,Assessment!$A$5:$A$2000,0)),"Not found"))</f>
        <v/>
      </c>
      <c r="E199" s="10"/>
      <c r="F199" s="10"/>
      <c r="G199" s="10"/>
      <c r="H199" s="10"/>
      <c r="I199" s="10"/>
      <c r="J199" s="14"/>
      <c r="K199" s="10"/>
      <c r="L199" s="14"/>
      <c r="M199" s="44" t="str">
        <f t="shared" ca="1" si="12"/>
        <v/>
      </c>
      <c r="N199" s="44" t="str">
        <f t="shared" ca="1" si="13"/>
        <v/>
      </c>
    </row>
    <row r="200" spans="1:14" x14ac:dyDescent="0.35">
      <c r="A200" s="10"/>
      <c r="B200" s="10"/>
      <c r="C200" s="43" t="str">
        <f>IF(B200="","",IFERROR(INDEX(Assessment!$E$5:$E$2000,MATCH(B200,Assessment!$A$5:$A$2000,0)),"Not found"))</f>
        <v/>
      </c>
      <c r="D200" s="43" t="str">
        <f>IF(B200="","",IFERROR(INDEX(Assessment!$B$5:$B$2000,MATCH(B200,Assessment!$A$5:$A$2000,0)),"Not found"))</f>
        <v/>
      </c>
      <c r="E200" s="10"/>
      <c r="F200" s="10"/>
      <c r="G200" s="10"/>
      <c r="H200" s="10"/>
      <c r="I200" s="10"/>
      <c r="J200" s="14"/>
      <c r="K200" s="10"/>
      <c r="L200" s="14"/>
      <c r="M200" s="44" t="str">
        <f t="shared" ca="1" si="12"/>
        <v/>
      </c>
      <c r="N200" s="44" t="str">
        <f t="shared" ca="1" si="13"/>
        <v/>
      </c>
    </row>
    <row r="201" spans="1:14" x14ac:dyDescent="0.35">
      <c r="A201" s="10"/>
      <c r="B201" s="10"/>
      <c r="C201" s="43" t="str">
        <f>IF(B201="","",IFERROR(INDEX(Assessment!$E$5:$E$2000,MATCH(B201,Assessment!$A$5:$A$2000,0)),"Not found"))</f>
        <v/>
      </c>
      <c r="D201" s="43" t="str">
        <f>IF(B201="","",IFERROR(INDEX(Assessment!$B$5:$B$2000,MATCH(B201,Assessment!$A$5:$A$2000,0)),"Not found"))</f>
        <v/>
      </c>
      <c r="E201" s="10"/>
      <c r="F201" s="10"/>
      <c r="G201" s="10"/>
      <c r="H201" s="10"/>
      <c r="I201" s="10"/>
      <c r="J201" s="14"/>
      <c r="K201" s="10"/>
      <c r="L201" s="14"/>
      <c r="M201" s="44" t="str">
        <f t="shared" ca="1" si="12"/>
        <v/>
      </c>
      <c r="N201" s="44" t="str">
        <f t="shared" ca="1" si="13"/>
        <v/>
      </c>
    </row>
    <row r="202" spans="1:14" x14ac:dyDescent="0.35">
      <c r="A202" s="10"/>
      <c r="B202" s="10"/>
      <c r="C202" s="43" t="str">
        <f>IF(B202="","",IFERROR(INDEX(Assessment!$E$5:$E$2000,MATCH(B202,Assessment!$A$5:$A$2000,0)),"Not found"))</f>
        <v/>
      </c>
      <c r="D202" s="43" t="str">
        <f>IF(B202="","",IFERROR(INDEX(Assessment!$B$5:$B$2000,MATCH(B202,Assessment!$A$5:$A$2000,0)),"Not found"))</f>
        <v/>
      </c>
      <c r="E202" s="10"/>
      <c r="F202" s="10"/>
      <c r="G202" s="10"/>
      <c r="H202" s="10"/>
      <c r="I202" s="10"/>
      <c r="J202" s="14"/>
      <c r="K202" s="10"/>
      <c r="L202" s="14"/>
      <c r="M202" s="44" t="str">
        <f t="shared" ca="1" si="12"/>
        <v/>
      </c>
      <c r="N202" s="44" t="str">
        <f t="shared" ca="1" si="13"/>
        <v/>
      </c>
    </row>
    <row r="203" spans="1:14" x14ac:dyDescent="0.35">
      <c r="A203" s="10"/>
      <c r="B203" s="10"/>
      <c r="C203" s="43" t="str">
        <f>IF(B203="","",IFERROR(INDEX(Assessment!$E$5:$E$2000,MATCH(B203,Assessment!$A$5:$A$2000,0)),"Not found"))</f>
        <v/>
      </c>
      <c r="D203" s="43" t="str">
        <f>IF(B203="","",IFERROR(INDEX(Assessment!$B$5:$B$2000,MATCH(B203,Assessment!$A$5:$A$2000,0)),"Not found"))</f>
        <v/>
      </c>
      <c r="E203" s="10"/>
      <c r="F203" s="10"/>
      <c r="G203" s="10"/>
      <c r="H203" s="10"/>
      <c r="I203" s="10"/>
      <c r="J203" s="14"/>
      <c r="K203" s="10"/>
      <c r="L203" s="14"/>
      <c r="M203" s="44" t="str">
        <f t="shared" ca="1" si="12"/>
        <v/>
      </c>
      <c r="N203" s="44" t="str">
        <f t="shared" ca="1" si="13"/>
        <v/>
      </c>
    </row>
    <row r="204" spans="1:14" x14ac:dyDescent="0.35">
      <c r="A204" s="10"/>
      <c r="B204" s="10"/>
      <c r="C204" s="43" t="str">
        <f>IF(B204="","",IFERROR(INDEX(Assessment!$E$5:$E$2000,MATCH(B204,Assessment!$A$5:$A$2000,0)),"Not found"))</f>
        <v/>
      </c>
      <c r="D204" s="43" t="str">
        <f>IF(B204="","",IFERROR(INDEX(Assessment!$B$5:$B$2000,MATCH(B204,Assessment!$A$5:$A$2000,0)),"Not found"))</f>
        <v/>
      </c>
      <c r="E204" s="10"/>
      <c r="F204" s="10"/>
      <c r="G204" s="10"/>
      <c r="H204" s="10"/>
      <c r="I204" s="10"/>
      <c r="J204" s="14"/>
      <c r="K204" s="10"/>
      <c r="L204" s="14"/>
      <c r="M204" s="44" t="str">
        <f t="shared" ca="1" si="12"/>
        <v/>
      </c>
      <c r="N204" s="44" t="str">
        <f t="shared" ca="1" si="13"/>
        <v/>
      </c>
    </row>
    <row r="205" spans="1:14" x14ac:dyDescent="0.35">
      <c r="A205" s="10"/>
      <c r="B205" s="10"/>
      <c r="C205" s="43" t="str">
        <f>IF(B205="","",IFERROR(INDEX(Assessment!$E$5:$E$2000,MATCH(B205,Assessment!$A$5:$A$2000,0)),"Not found"))</f>
        <v/>
      </c>
      <c r="D205" s="43" t="str">
        <f>IF(B205="","",IFERROR(INDEX(Assessment!$B$5:$B$2000,MATCH(B205,Assessment!$A$5:$A$2000,0)),"Not found"))</f>
        <v/>
      </c>
      <c r="E205" s="10"/>
      <c r="F205" s="10"/>
      <c r="G205" s="10"/>
      <c r="H205" s="10"/>
      <c r="I205" s="10"/>
      <c r="J205" s="14"/>
      <c r="K205" s="10"/>
      <c r="L205" s="14"/>
      <c r="M205" s="44" t="str">
        <f t="shared" ca="1" si="12"/>
        <v/>
      </c>
      <c r="N205" s="44" t="str">
        <f t="shared" ca="1" si="13"/>
        <v/>
      </c>
    </row>
  </sheetData>
  <autoFilter ref="A4:N205" xr:uid="{00000000-0009-0000-0000-000006000000}"/>
  <conditionalFormatting sqref="F6:F205">
    <cfRule type="cellIs" dxfId="27" priority="2" operator="equal">
      <formula>"Low"</formula>
    </cfRule>
    <cfRule type="cellIs" dxfId="26" priority="3" operator="equal">
      <formula>"Medium"</formula>
    </cfRule>
    <cfRule type="cellIs" dxfId="25" priority="4" operator="equal">
      <formula>"High"</formula>
    </cfRule>
    <cfRule type="cellIs" dxfId="24" priority="5" operator="equal">
      <formula>"Critical"</formula>
    </cfRule>
  </conditionalFormatting>
  <conditionalFormatting sqref="N6:N205">
    <cfRule type="cellIs" dxfId="23" priority="6" operator="equal">
      <formula>"Overdue"</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3">
        <x14:dataValidation type="list" allowBlank="1" showErrorMessage="1" error="Choose a value from the list" xr:uid="{00000000-0002-0000-0600-000000000000}">
          <x14:formula1>
            <xm:f>Assessment!$A$5:$A$2000</xm:f>
          </x14:formula1>
          <x14:formula2>
            <xm:f>0</xm:f>
          </x14:formula2>
          <xm:sqref>B6:B205</xm:sqref>
        </x14:dataValidation>
        <x14:dataValidation type="list" allowBlank="1" showErrorMessage="1" error="Choose a value from the list" xr:uid="{00000000-0002-0000-0600-000001000000}">
          <x14:formula1>
            <xm:f>Lists!$A$4:$A$8</xm:f>
          </x14:formula1>
          <x14:formula2>
            <xm:f>0</xm:f>
          </x14:formula2>
          <xm:sqref>F6:F205</xm:sqref>
        </x14:dataValidation>
        <x14:dataValidation type="list" allowBlank="1" showErrorMessage="1" error="Choose a value from the list" xr:uid="{00000000-0002-0000-0600-000002000000}">
          <x14:formula1>
            <xm:f>Lists!$B$4:$B$8</xm:f>
          </x14:formula1>
          <x14:formula2>
            <xm:f>0</xm:f>
          </x14:formula2>
          <xm:sqref>K6:K205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Q205"/>
  <sheetViews>
    <sheetView showGridLines="0" zoomScaleNormal="100" workbookViewId="0">
      <pane xSplit="2" ySplit="5" topLeftCell="C26" activePane="bottomRight" state="frozen"/>
      <selection pane="topRight" activeCell="C1" sqref="C1"/>
      <selection pane="bottomLeft" activeCell="A6" sqref="A6"/>
      <selection pane="bottomRight"/>
    </sheetView>
  </sheetViews>
  <sheetFormatPr defaultColWidth="8.6328125" defaultRowHeight="14.5" x14ac:dyDescent="0.35"/>
  <cols>
    <col min="1" max="1" width="10" customWidth="1"/>
    <col min="2" max="2" width="14" customWidth="1"/>
    <col min="3" max="3" width="32" customWidth="1"/>
    <col min="4" max="4" width="12" customWidth="1"/>
    <col min="5" max="5" width="50" customWidth="1"/>
    <col min="6" max="7" width="11" customWidth="1"/>
    <col min="8" max="8" width="10" customWidth="1"/>
    <col min="9" max="9" width="11" customWidth="1"/>
    <col min="10" max="10" width="12" customWidth="1"/>
    <col min="11" max="11" width="11" customWidth="1"/>
    <col min="12" max="12" width="10" customWidth="1"/>
    <col min="13" max="13" width="12" customWidth="1"/>
    <col min="14" max="14" width="16" customWidth="1"/>
    <col min="15" max="15" width="12" customWidth="1"/>
    <col min="16" max="16" width="14" customWidth="1"/>
    <col min="17" max="17" width="16" customWidth="1"/>
  </cols>
  <sheetData>
    <row r="1" spans="1:17" ht="20" x14ac:dyDescent="0.4">
      <c r="A1" s="8" t="s">
        <v>920</v>
      </c>
    </row>
    <row r="2" spans="1:17" x14ac:dyDescent="0.35">
      <c r="A2" s="6" t="s">
        <v>921</v>
      </c>
    </row>
    <row r="4" spans="1:17" ht="39.75" customHeight="1" x14ac:dyDescent="0.35">
      <c r="A4" s="11" t="s">
        <v>922</v>
      </c>
      <c r="B4" s="11" t="s">
        <v>134</v>
      </c>
      <c r="C4" s="11" t="s">
        <v>133</v>
      </c>
      <c r="D4" s="11" t="s">
        <v>923</v>
      </c>
      <c r="E4" s="11" t="s">
        <v>924</v>
      </c>
      <c r="F4" s="11" t="s">
        <v>925</v>
      </c>
      <c r="G4" s="11" t="s">
        <v>926</v>
      </c>
      <c r="H4" s="11" t="s">
        <v>927</v>
      </c>
      <c r="I4" s="11" t="s">
        <v>928</v>
      </c>
      <c r="J4" s="11" t="s">
        <v>929</v>
      </c>
      <c r="K4" s="11" t="s">
        <v>930</v>
      </c>
      <c r="L4" s="11" t="s">
        <v>182</v>
      </c>
      <c r="M4" s="11" t="s">
        <v>183</v>
      </c>
      <c r="N4" s="11" t="s">
        <v>910</v>
      </c>
      <c r="O4" s="11" t="s">
        <v>931</v>
      </c>
      <c r="P4" s="11" t="s">
        <v>94</v>
      </c>
      <c r="Q4" s="11" t="s">
        <v>932</v>
      </c>
    </row>
    <row r="5" spans="1:17" ht="26" x14ac:dyDescent="0.35">
      <c r="A5" s="22" t="s">
        <v>895</v>
      </c>
      <c r="B5" s="22" t="s">
        <v>237</v>
      </c>
      <c r="C5" s="22" t="str">
        <f>IF(B5="","",IFERROR(INDEX(Assessment!$E$5:$E$2000,MATCH(B5,Assessment!$A$5:$A$2000,0)),"Not found"))</f>
        <v>Logs are forwarded in near real time to a central tamper-resistant store</v>
      </c>
      <c r="D5" s="22" t="s">
        <v>895</v>
      </c>
      <c r="E5" s="22" t="s">
        <v>933</v>
      </c>
      <c r="F5" s="22">
        <v>4</v>
      </c>
      <c r="G5" s="22">
        <v>5</v>
      </c>
      <c r="H5" s="45">
        <f t="shared" ref="H5:H68" si="0">IF(OR(F5="",G5=""),"",F5*G5)</f>
        <v>20</v>
      </c>
      <c r="I5" s="45" t="str">
        <f>IF(H5="","",INDEX(Risk_Model!$B$30:$B$33,MATCH(H5,Risk_Model!$A$30:$A$33,1)))</f>
        <v>Critical</v>
      </c>
      <c r="J5" s="22" t="s">
        <v>934</v>
      </c>
      <c r="K5" s="45" t="str">
        <f>IF(B5="","",IFERROR(IF(INDEX(Assessment!$K$5:$K$2000,MATCH(B5,Assessment!$A$5:$A$2000,0))="","",INDEX(Assessment!$K$5:$K$2000,MATCH(B5,Assessment!$A$5:$A$2000,0))),""))</f>
        <v/>
      </c>
      <c r="L5" s="46" t="str">
        <f>IF(OR(H5="",K5=""),"",ROUND(H5*(1-INDEX(Risk_Model!$C$38:$C$43,MATCH(K5,Risk_Model!$A$38:$A$43,0))),1))</f>
        <v/>
      </c>
      <c r="M5" s="45" t="str">
        <f>IF(L5="","",INDEX(Risk_Model!$B$30:$B$33,MATCH(L5,Risk_Model!$A$30:$A$33,1)))</f>
        <v/>
      </c>
      <c r="N5" s="22" t="s">
        <v>918</v>
      </c>
      <c r="O5" s="42">
        <v>46371</v>
      </c>
      <c r="P5" s="22" t="s">
        <v>919</v>
      </c>
      <c r="Q5" s="22" t="s">
        <v>935</v>
      </c>
    </row>
    <row r="6" spans="1:17" x14ac:dyDescent="0.35">
      <c r="A6" s="10"/>
      <c r="B6" s="10"/>
      <c r="C6" s="43" t="str">
        <f>IF(B6="","",IFERROR(INDEX(Assessment!$E$5:$E$2000,MATCH(B6,Assessment!$A$5:$A$2000,0)),"Not found"))</f>
        <v/>
      </c>
      <c r="D6" s="10"/>
      <c r="E6" s="10"/>
      <c r="F6" s="10"/>
      <c r="G6" s="10"/>
      <c r="H6" s="44" t="str">
        <f t="shared" si="0"/>
        <v/>
      </c>
      <c r="I6" s="44" t="str">
        <f>IF(H6="","",INDEX(Risk_Model!$B$30:$B$33,MATCH(H6,Risk_Model!$A$30:$A$33,1)))</f>
        <v/>
      </c>
      <c r="J6" s="10"/>
      <c r="K6" s="44" t="str">
        <f>IF(B6="","",IFERROR(IF(INDEX(Assessment!$K$5:$K$2000,MATCH(B6,Assessment!$A$5:$A$2000,0))="","",INDEX(Assessment!$K$5:$K$2000,MATCH(B6,Assessment!$A$5:$A$2000,0))),""))</f>
        <v/>
      </c>
      <c r="L6" s="47" t="str">
        <f>IF(OR(H6="",K6=""),"",ROUND(H6*(1-INDEX(Risk_Model!$C$38:$C$43,MATCH(K6,Risk_Model!$A$38:$A$43,0))),1))</f>
        <v/>
      </c>
      <c r="M6" s="44" t="str">
        <f>IF(L6="","",INDEX(Risk_Model!$B$30:$B$33,MATCH(L6,Risk_Model!$A$30:$A$33,1)))</f>
        <v/>
      </c>
      <c r="N6" s="10"/>
      <c r="O6" s="14"/>
      <c r="P6" s="10"/>
      <c r="Q6" s="10"/>
    </row>
    <row r="7" spans="1:17" x14ac:dyDescent="0.35">
      <c r="A7" s="10"/>
      <c r="B7" s="10"/>
      <c r="C7" s="43" t="str">
        <f>IF(B7="","",IFERROR(INDEX(Assessment!$E$5:$E$2000,MATCH(B7,Assessment!$A$5:$A$2000,0)),"Not found"))</f>
        <v/>
      </c>
      <c r="D7" s="10"/>
      <c r="E7" s="10"/>
      <c r="F7" s="10"/>
      <c r="G7" s="10"/>
      <c r="H7" s="44" t="str">
        <f t="shared" si="0"/>
        <v/>
      </c>
      <c r="I7" s="44" t="str">
        <f>IF(H7="","",INDEX(Risk_Model!$B$30:$B$33,MATCH(H7,Risk_Model!$A$30:$A$33,1)))</f>
        <v/>
      </c>
      <c r="J7" s="10"/>
      <c r="K7" s="44" t="str">
        <f>IF(B7="","",IFERROR(IF(INDEX(Assessment!$K$5:$K$2000,MATCH(B7,Assessment!$A$5:$A$2000,0))="","",INDEX(Assessment!$K$5:$K$2000,MATCH(B7,Assessment!$A$5:$A$2000,0))),""))</f>
        <v/>
      </c>
      <c r="L7" s="47" t="str">
        <f>IF(OR(H7="",K7=""),"",ROUND(H7*(1-INDEX(Risk_Model!$C$38:$C$43,MATCH(K7,Risk_Model!$A$38:$A$43,0))),1))</f>
        <v/>
      </c>
      <c r="M7" s="44" t="str">
        <f>IF(L7="","",INDEX(Risk_Model!$B$30:$B$33,MATCH(L7,Risk_Model!$A$30:$A$33,1)))</f>
        <v/>
      </c>
      <c r="N7" s="10"/>
      <c r="O7" s="14"/>
      <c r="P7" s="10"/>
      <c r="Q7" s="10"/>
    </row>
    <row r="8" spans="1:17" x14ac:dyDescent="0.35">
      <c r="A8" s="10"/>
      <c r="B8" s="10"/>
      <c r="C8" s="43" t="str">
        <f>IF(B8="","",IFERROR(INDEX(Assessment!$E$5:$E$2000,MATCH(B8,Assessment!$A$5:$A$2000,0)),"Not found"))</f>
        <v/>
      </c>
      <c r="D8" s="10"/>
      <c r="E8" s="10"/>
      <c r="F8" s="10"/>
      <c r="G8" s="10"/>
      <c r="H8" s="44" t="str">
        <f t="shared" si="0"/>
        <v/>
      </c>
      <c r="I8" s="44" t="str">
        <f>IF(H8="","",INDEX(Risk_Model!$B$30:$B$33,MATCH(H8,Risk_Model!$A$30:$A$33,1)))</f>
        <v/>
      </c>
      <c r="J8" s="10"/>
      <c r="K8" s="44" t="str">
        <f>IF(B8="","",IFERROR(IF(INDEX(Assessment!$K$5:$K$2000,MATCH(B8,Assessment!$A$5:$A$2000,0))="","",INDEX(Assessment!$K$5:$K$2000,MATCH(B8,Assessment!$A$5:$A$2000,0))),""))</f>
        <v/>
      </c>
      <c r="L8" s="47" t="str">
        <f>IF(OR(H8="",K8=""),"",ROUND(H8*(1-INDEX(Risk_Model!$C$38:$C$43,MATCH(K8,Risk_Model!$A$38:$A$43,0))),1))</f>
        <v/>
      </c>
      <c r="M8" s="44" t="str">
        <f>IF(L8="","",INDEX(Risk_Model!$B$30:$B$33,MATCH(L8,Risk_Model!$A$30:$A$33,1)))</f>
        <v/>
      </c>
      <c r="N8" s="10"/>
      <c r="O8" s="14"/>
      <c r="P8" s="10"/>
      <c r="Q8" s="10"/>
    </row>
    <row r="9" spans="1:17" x14ac:dyDescent="0.35">
      <c r="A9" s="10"/>
      <c r="B9" s="10"/>
      <c r="C9" s="43" t="str">
        <f>IF(B9="","",IFERROR(INDEX(Assessment!$E$5:$E$2000,MATCH(B9,Assessment!$A$5:$A$2000,0)),"Not found"))</f>
        <v/>
      </c>
      <c r="D9" s="10"/>
      <c r="E9" s="10"/>
      <c r="F9" s="10"/>
      <c r="G9" s="10"/>
      <c r="H9" s="44" t="str">
        <f t="shared" si="0"/>
        <v/>
      </c>
      <c r="I9" s="44" t="str">
        <f>IF(H9="","",INDEX(Risk_Model!$B$30:$B$33,MATCH(H9,Risk_Model!$A$30:$A$33,1)))</f>
        <v/>
      </c>
      <c r="J9" s="10"/>
      <c r="K9" s="44" t="str">
        <f>IF(B9="","",IFERROR(IF(INDEX(Assessment!$K$5:$K$2000,MATCH(B9,Assessment!$A$5:$A$2000,0))="","",INDEX(Assessment!$K$5:$K$2000,MATCH(B9,Assessment!$A$5:$A$2000,0))),""))</f>
        <v/>
      </c>
      <c r="L9" s="47" t="str">
        <f>IF(OR(H9="",K9=""),"",ROUND(H9*(1-INDEX(Risk_Model!$C$38:$C$43,MATCH(K9,Risk_Model!$A$38:$A$43,0))),1))</f>
        <v/>
      </c>
      <c r="M9" s="44" t="str">
        <f>IF(L9="","",INDEX(Risk_Model!$B$30:$B$33,MATCH(L9,Risk_Model!$A$30:$A$33,1)))</f>
        <v/>
      </c>
      <c r="N9" s="10"/>
      <c r="O9" s="14"/>
      <c r="P9" s="10"/>
      <c r="Q9" s="10"/>
    </row>
    <row r="10" spans="1:17" x14ac:dyDescent="0.35">
      <c r="A10" s="10"/>
      <c r="B10" s="10"/>
      <c r="C10" s="43" t="str">
        <f>IF(B10="","",IFERROR(INDEX(Assessment!$E$5:$E$2000,MATCH(B10,Assessment!$A$5:$A$2000,0)),"Not found"))</f>
        <v/>
      </c>
      <c r="D10" s="10"/>
      <c r="E10" s="10"/>
      <c r="F10" s="10"/>
      <c r="G10" s="10"/>
      <c r="H10" s="44" t="str">
        <f t="shared" si="0"/>
        <v/>
      </c>
      <c r="I10" s="44" t="str">
        <f>IF(H10="","",INDEX(Risk_Model!$B$30:$B$33,MATCH(H10,Risk_Model!$A$30:$A$33,1)))</f>
        <v/>
      </c>
      <c r="J10" s="10"/>
      <c r="K10" s="44" t="str">
        <f>IF(B10="","",IFERROR(IF(INDEX(Assessment!$K$5:$K$2000,MATCH(B10,Assessment!$A$5:$A$2000,0))="","",INDEX(Assessment!$K$5:$K$2000,MATCH(B10,Assessment!$A$5:$A$2000,0))),""))</f>
        <v/>
      </c>
      <c r="L10" s="47" t="str">
        <f>IF(OR(H10="",K10=""),"",ROUND(H10*(1-INDEX(Risk_Model!$C$38:$C$43,MATCH(K10,Risk_Model!$A$38:$A$43,0))),1))</f>
        <v/>
      </c>
      <c r="M10" s="44" t="str">
        <f>IF(L10="","",INDEX(Risk_Model!$B$30:$B$33,MATCH(L10,Risk_Model!$A$30:$A$33,1)))</f>
        <v/>
      </c>
      <c r="N10" s="10"/>
      <c r="O10" s="14"/>
      <c r="P10" s="10"/>
      <c r="Q10" s="10"/>
    </row>
    <row r="11" spans="1:17" x14ac:dyDescent="0.35">
      <c r="A11" s="10"/>
      <c r="B11" s="10"/>
      <c r="C11" s="43" t="str">
        <f>IF(B11="","",IFERROR(INDEX(Assessment!$E$5:$E$2000,MATCH(B11,Assessment!$A$5:$A$2000,0)),"Not found"))</f>
        <v/>
      </c>
      <c r="D11" s="10"/>
      <c r="E11" s="10"/>
      <c r="F11" s="10"/>
      <c r="G11" s="10"/>
      <c r="H11" s="44" t="str">
        <f t="shared" si="0"/>
        <v/>
      </c>
      <c r="I11" s="44" t="str">
        <f>IF(H11="","",INDEX(Risk_Model!$B$30:$B$33,MATCH(H11,Risk_Model!$A$30:$A$33,1)))</f>
        <v/>
      </c>
      <c r="J11" s="10"/>
      <c r="K11" s="44" t="str">
        <f>IF(B11="","",IFERROR(IF(INDEX(Assessment!$K$5:$K$2000,MATCH(B11,Assessment!$A$5:$A$2000,0))="","",INDEX(Assessment!$K$5:$K$2000,MATCH(B11,Assessment!$A$5:$A$2000,0))),""))</f>
        <v/>
      </c>
      <c r="L11" s="47" t="str">
        <f>IF(OR(H11="",K11=""),"",ROUND(H11*(1-INDEX(Risk_Model!$C$38:$C$43,MATCH(K11,Risk_Model!$A$38:$A$43,0))),1))</f>
        <v/>
      </c>
      <c r="M11" s="44" t="str">
        <f>IF(L11="","",INDEX(Risk_Model!$B$30:$B$33,MATCH(L11,Risk_Model!$A$30:$A$33,1)))</f>
        <v/>
      </c>
      <c r="N11" s="10"/>
      <c r="O11" s="14"/>
      <c r="P11" s="10"/>
      <c r="Q11" s="10"/>
    </row>
    <row r="12" spans="1:17" x14ac:dyDescent="0.35">
      <c r="A12" s="10"/>
      <c r="B12" s="10"/>
      <c r="C12" s="43" t="str">
        <f>IF(B12="","",IFERROR(INDEX(Assessment!$E$5:$E$2000,MATCH(B12,Assessment!$A$5:$A$2000,0)),"Not found"))</f>
        <v/>
      </c>
      <c r="D12" s="10"/>
      <c r="E12" s="10"/>
      <c r="F12" s="10"/>
      <c r="G12" s="10"/>
      <c r="H12" s="44" t="str">
        <f t="shared" si="0"/>
        <v/>
      </c>
      <c r="I12" s="44" t="str">
        <f>IF(H12="","",INDEX(Risk_Model!$B$30:$B$33,MATCH(H12,Risk_Model!$A$30:$A$33,1)))</f>
        <v/>
      </c>
      <c r="J12" s="10"/>
      <c r="K12" s="44" t="str">
        <f>IF(B12="","",IFERROR(IF(INDEX(Assessment!$K$5:$K$2000,MATCH(B12,Assessment!$A$5:$A$2000,0))="","",INDEX(Assessment!$K$5:$K$2000,MATCH(B12,Assessment!$A$5:$A$2000,0))),""))</f>
        <v/>
      </c>
      <c r="L12" s="47" t="str">
        <f>IF(OR(H12="",K12=""),"",ROUND(H12*(1-INDEX(Risk_Model!$C$38:$C$43,MATCH(K12,Risk_Model!$A$38:$A$43,0))),1))</f>
        <v/>
      </c>
      <c r="M12" s="44" t="str">
        <f>IF(L12="","",INDEX(Risk_Model!$B$30:$B$33,MATCH(L12,Risk_Model!$A$30:$A$33,1)))</f>
        <v/>
      </c>
      <c r="N12" s="10"/>
      <c r="O12" s="14"/>
      <c r="P12" s="10"/>
      <c r="Q12" s="10"/>
    </row>
    <row r="13" spans="1:17" x14ac:dyDescent="0.35">
      <c r="A13" s="10"/>
      <c r="B13" s="10"/>
      <c r="C13" s="43" t="str">
        <f>IF(B13="","",IFERROR(INDEX(Assessment!$E$5:$E$2000,MATCH(B13,Assessment!$A$5:$A$2000,0)),"Not found"))</f>
        <v/>
      </c>
      <c r="D13" s="10"/>
      <c r="E13" s="10"/>
      <c r="F13" s="10"/>
      <c r="G13" s="10"/>
      <c r="H13" s="44" t="str">
        <f t="shared" si="0"/>
        <v/>
      </c>
      <c r="I13" s="44" t="str">
        <f>IF(H13="","",INDEX(Risk_Model!$B$30:$B$33,MATCH(H13,Risk_Model!$A$30:$A$33,1)))</f>
        <v/>
      </c>
      <c r="J13" s="10"/>
      <c r="K13" s="44" t="str">
        <f>IF(B13="","",IFERROR(IF(INDEX(Assessment!$K$5:$K$2000,MATCH(B13,Assessment!$A$5:$A$2000,0))="","",INDEX(Assessment!$K$5:$K$2000,MATCH(B13,Assessment!$A$5:$A$2000,0))),""))</f>
        <v/>
      </c>
      <c r="L13" s="47" t="str">
        <f>IF(OR(H13="",K13=""),"",ROUND(H13*(1-INDEX(Risk_Model!$C$38:$C$43,MATCH(K13,Risk_Model!$A$38:$A$43,0))),1))</f>
        <v/>
      </c>
      <c r="M13" s="44" t="str">
        <f>IF(L13="","",INDEX(Risk_Model!$B$30:$B$33,MATCH(L13,Risk_Model!$A$30:$A$33,1)))</f>
        <v/>
      </c>
      <c r="N13" s="10"/>
      <c r="O13" s="14"/>
      <c r="P13" s="10"/>
      <c r="Q13" s="10"/>
    </row>
    <row r="14" spans="1:17" x14ac:dyDescent="0.35">
      <c r="A14" s="10"/>
      <c r="B14" s="10"/>
      <c r="C14" s="43" t="str">
        <f>IF(B14="","",IFERROR(INDEX(Assessment!$E$5:$E$2000,MATCH(B14,Assessment!$A$5:$A$2000,0)),"Not found"))</f>
        <v/>
      </c>
      <c r="D14" s="10"/>
      <c r="E14" s="10"/>
      <c r="F14" s="10"/>
      <c r="G14" s="10"/>
      <c r="H14" s="44" t="str">
        <f t="shared" si="0"/>
        <v/>
      </c>
      <c r="I14" s="44" t="str">
        <f>IF(H14="","",INDEX(Risk_Model!$B$30:$B$33,MATCH(H14,Risk_Model!$A$30:$A$33,1)))</f>
        <v/>
      </c>
      <c r="J14" s="10"/>
      <c r="K14" s="44" t="str">
        <f>IF(B14="","",IFERROR(IF(INDEX(Assessment!$K$5:$K$2000,MATCH(B14,Assessment!$A$5:$A$2000,0))="","",INDEX(Assessment!$K$5:$K$2000,MATCH(B14,Assessment!$A$5:$A$2000,0))),""))</f>
        <v/>
      </c>
      <c r="L14" s="47" t="str">
        <f>IF(OR(H14="",K14=""),"",ROUND(H14*(1-INDEX(Risk_Model!$C$38:$C$43,MATCH(K14,Risk_Model!$A$38:$A$43,0))),1))</f>
        <v/>
      </c>
      <c r="M14" s="44" t="str">
        <f>IF(L14="","",INDEX(Risk_Model!$B$30:$B$33,MATCH(L14,Risk_Model!$A$30:$A$33,1)))</f>
        <v/>
      </c>
      <c r="N14" s="10"/>
      <c r="O14" s="14"/>
      <c r="P14" s="10"/>
      <c r="Q14" s="10"/>
    </row>
    <row r="15" spans="1:17" x14ac:dyDescent="0.35">
      <c r="A15" s="10"/>
      <c r="B15" s="10"/>
      <c r="C15" s="43" t="str">
        <f>IF(B15="","",IFERROR(INDEX(Assessment!$E$5:$E$2000,MATCH(B15,Assessment!$A$5:$A$2000,0)),"Not found"))</f>
        <v/>
      </c>
      <c r="D15" s="10"/>
      <c r="E15" s="10"/>
      <c r="F15" s="10"/>
      <c r="G15" s="10"/>
      <c r="H15" s="44" t="str">
        <f t="shared" si="0"/>
        <v/>
      </c>
      <c r="I15" s="44" t="str">
        <f>IF(H15="","",INDEX(Risk_Model!$B$30:$B$33,MATCH(H15,Risk_Model!$A$30:$A$33,1)))</f>
        <v/>
      </c>
      <c r="J15" s="10"/>
      <c r="K15" s="44" t="str">
        <f>IF(B15="","",IFERROR(IF(INDEX(Assessment!$K$5:$K$2000,MATCH(B15,Assessment!$A$5:$A$2000,0))="","",INDEX(Assessment!$K$5:$K$2000,MATCH(B15,Assessment!$A$5:$A$2000,0))),""))</f>
        <v/>
      </c>
      <c r="L15" s="47" t="str">
        <f>IF(OR(H15="",K15=""),"",ROUND(H15*(1-INDEX(Risk_Model!$C$38:$C$43,MATCH(K15,Risk_Model!$A$38:$A$43,0))),1))</f>
        <v/>
      </c>
      <c r="M15" s="44" t="str">
        <f>IF(L15="","",INDEX(Risk_Model!$B$30:$B$33,MATCH(L15,Risk_Model!$A$30:$A$33,1)))</f>
        <v/>
      </c>
      <c r="N15" s="10"/>
      <c r="O15" s="14"/>
      <c r="P15" s="10"/>
      <c r="Q15" s="10"/>
    </row>
    <row r="16" spans="1:17" x14ac:dyDescent="0.35">
      <c r="A16" s="10"/>
      <c r="B16" s="10"/>
      <c r="C16" s="43" t="str">
        <f>IF(B16="","",IFERROR(INDEX(Assessment!$E$5:$E$2000,MATCH(B16,Assessment!$A$5:$A$2000,0)),"Not found"))</f>
        <v/>
      </c>
      <c r="D16" s="10"/>
      <c r="E16" s="10"/>
      <c r="F16" s="10"/>
      <c r="G16" s="10"/>
      <c r="H16" s="44" t="str">
        <f t="shared" si="0"/>
        <v/>
      </c>
      <c r="I16" s="44" t="str">
        <f>IF(H16="","",INDEX(Risk_Model!$B$30:$B$33,MATCH(H16,Risk_Model!$A$30:$A$33,1)))</f>
        <v/>
      </c>
      <c r="J16" s="10"/>
      <c r="K16" s="44" t="str">
        <f>IF(B16="","",IFERROR(IF(INDEX(Assessment!$K$5:$K$2000,MATCH(B16,Assessment!$A$5:$A$2000,0))="","",INDEX(Assessment!$K$5:$K$2000,MATCH(B16,Assessment!$A$5:$A$2000,0))),""))</f>
        <v/>
      </c>
      <c r="L16" s="47" t="str">
        <f>IF(OR(H16="",K16=""),"",ROUND(H16*(1-INDEX(Risk_Model!$C$38:$C$43,MATCH(K16,Risk_Model!$A$38:$A$43,0))),1))</f>
        <v/>
      </c>
      <c r="M16" s="44" t="str">
        <f>IF(L16="","",INDEX(Risk_Model!$B$30:$B$33,MATCH(L16,Risk_Model!$A$30:$A$33,1)))</f>
        <v/>
      </c>
      <c r="N16" s="10"/>
      <c r="O16" s="14"/>
      <c r="P16" s="10"/>
      <c r="Q16" s="10"/>
    </row>
    <row r="17" spans="1:17" x14ac:dyDescent="0.35">
      <c r="A17" s="10"/>
      <c r="B17" s="10"/>
      <c r="C17" s="43" t="str">
        <f>IF(B17="","",IFERROR(INDEX(Assessment!$E$5:$E$2000,MATCH(B17,Assessment!$A$5:$A$2000,0)),"Not found"))</f>
        <v/>
      </c>
      <c r="D17" s="10"/>
      <c r="E17" s="10"/>
      <c r="F17" s="10"/>
      <c r="G17" s="10"/>
      <c r="H17" s="44" t="str">
        <f t="shared" si="0"/>
        <v/>
      </c>
      <c r="I17" s="44" t="str">
        <f>IF(H17="","",INDEX(Risk_Model!$B$30:$B$33,MATCH(H17,Risk_Model!$A$30:$A$33,1)))</f>
        <v/>
      </c>
      <c r="J17" s="10"/>
      <c r="K17" s="44" t="str">
        <f>IF(B17="","",IFERROR(IF(INDEX(Assessment!$K$5:$K$2000,MATCH(B17,Assessment!$A$5:$A$2000,0))="","",INDEX(Assessment!$K$5:$K$2000,MATCH(B17,Assessment!$A$5:$A$2000,0))),""))</f>
        <v/>
      </c>
      <c r="L17" s="47" t="str">
        <f>IF(OR(H17="",K17=""),"",ROUND(H17*(1-INDEX(Risk_Model!$C$38:$C$43,MATCH(K17,Risk_Model!$A$38:$A$43,0))),1))</f>
        <v/>
      </c>
      <c r="M17" s="44" t="str">
        <f>IF(L17="","",INDEX(Risk_Model!$B$30:$B$33,MATCH(L17,Risk_Model!$A$30:$A$33,1)))</f>
        <v/>
      </c>
      <c r="N17" s="10"/>
      <c r="O17" s="14"/>
      <c r="P17" s="10"/>
      <c r="Q17" s="10"/>
    </row>
    <row r="18" spans="1:17" x14ac:dyDescent="0.35">
      <c r="A18" s="10"/>
      <c r="B18" s="10"/>
      <c r="C18" s="43" t="str">
        <f>IF(B18="","",IFERROR(INDEX(Assessment!$E$5:$E$2000,MATCH(B18,Assessment!$A$5:$A$2000,0)),"Not found"))</f>
        <v/>
      </c>
      <c r="D18" s="10"/>
      <c r="E18" s="10"/>
      <c r="F18" s="10"/>
      <c r="G18" s="10"/>
      <c r="H18" s="44" t="str">
        <f t="shared" si="0"/>
        <v/>
      </c>
      <c r="I18" s="44" t="str">
        <f>IF(H18="","",INDEX(Risk_Model!$B$30:$B$33,MATCH(H18,Risk_Model!$A$30:$A$33,1)))</f>
        <v/>
      </c>
      <c r="J18" s="10"/>
      <c r="K18" s="44" t="str">
        <f>IF(B18="","",IFERROR(IF(INDEX(Assessment!$K$5:$K$2000,MATCH(B18,Assessment!$A$5:$A$2000,0))="","",INDEX(Assessment!$K$5:$K$2000,MATCH(B18,Assessment!$A$5:$A$2000,0))),""))</f>
        <v/>
      </c>
      <c r="L18" s="47" t="str">
        <f>IF(OR(H18="",K18=""),"",ROUND(H18*(1-INDEX(Risk_Model!$C$38:$C$43,MATCH(K18,Risk_Model!$A$38:$A$43,0))),1))</f>
        <v/>
      </c>
      <c r="M18" s="44" t="str">
        <f>IF(L18="","",INDEX(Risk_Model!$B$30:$B$33,MATCH(L18,Risk_Model!$A$30:$A$33,1)))</f>
        <v/>
      </c>
      <c r="N18" s="10"/>
      <c r="O18" s="14"/>
      <c r="P18" s="10"/>
      <c r="Q18" s="10"/>
    </row>
    <row r="19" spans="1:17" x14ac:dyDescent="0.35">
      <c r="A19" s="10"/>
      <c r="B19" s="10"/>
      <c r="C19" s="43" t="str">
        <f>IF(B19="","",IFERROR(INDEX(Assessment!$E$5:$E$2000,MATCH(B19,Assessment!$A$5:$A$2000,0)),"Not found"))</f>
        <v/>
      </c>
      <c r="D19" s="10"/>
      <c r="E19" s="10"/>
      <c r="F19" s="10"/>
      <c r="G19" s="10"/>
      <c r="H19" s="44" t="str">
        <f t="shared" si="0"/>
        <v/>
      </c>
      <c r="I19" s="44" t="str">
        <f>IF(H19="","",INDEX(Risk_Model!$B$30:$B$33,MATCH(H19,Risk_Model!$A$30:$A$33,1)))</f>
        <v/>
      </c>
      <c r="J19" s="10"/>
      <c r="K19" s="44" t="str">
        <f>IF(B19="","",IFERROR(IF(INDEX(Assessment!$K$5:$K$2000,MATCH(B19,Assessment!$A$5:$A$2000,0))="","",INDEX(Assessment!$K$5:$K$2000,MATCH(B19,Assessment!$A$5:$A$2000,0))),""))</f>
        <v/>
      </c>
      <c r="L19" s="47" t="str">
        <f>IF(OR(H19="",K19=""),"",ROUND(H19*(1-INDEX(Risk_Model!$C$38:$C$43,MATCH(K19,Risk_Model!$A$38:$A$43,0))),1))</f>
        <v/>
      </c>
      <c r="M19" s="44" t="str">
        <f>IF(L19="","",INDEX(Risk_Model!$B$30:$B$33,MATCH(L19,Risk_Model!$A$30:$A$33,1)))</f>
        <v/>
      </c>
      <c r="N19" s="10"/>
      <c r="O19" s="14"/>
      <c r="P19" s="10"/>
      <c r="Q19" s="10"/>
    </row>
    <row r="20" spans="1:17" x14ac:dyDescent="0.35">
      <c r="A20" s="10"/>
      <c r="B20" s="10"/>
      <c r="C20" s="43" t="str">
        <f>IF(B20="","",IFERROR(INDEX(Assessment!$E$5:$E$2000,MATCH(B20,Assessment!$A$5:$A$2000,0)),"Not found"))</f>
        <v/>
      </c>
      <c r="D20" s="10"/>
      <c r="E20" s="10"/>
      <c r="F20" s="10"/>
      <c r="G20" s="10"/>
      <c r="H20" s="44" t="str">
        <f t="shared" si="0"/>
        <v/>
      </c>
      <c r="I20" s="44" t="str">
        <f>IF(H20="","",INDEX(Risk_Model!$B$30:$B$33,MATCH(H20,Risk_Model!$A$30:$A$33,1)))</f>
        <v/>
      </c>
      <c r="J20" s="10"/>
      <c r="K20" s="44" t="str">
        <f>IF(B20="","",IFERROR(IF(INDEX(Assessment!$K$5:$K$2000,MATCH(B20,Assessment!$A$5:$A$2000,0))="","",INDEX(Assessment!$K$5:$K$2000,MATCH(B20,Assessment!$A$5:$A$2000,0))),""))</f>
        <v/>
      </c>
      <c r="L20" s="47" t="str">
        <f>IF(OR(H20="",K20=""),"",ROUND(H20*(1-INDEX(Risk_Model!$C$38:$C$43,MATCH(K20,Risk_Model!$A$38:$A$43,0))),1))</f>
        <v/>
      </c>
      <c r="M20" s="44" t="str">
        <f>IF(L20="","",INDEX(Risk_Model!$B$30:$B$33,MATCH(L20,Risk_Model!$A$30:$A$33,1)))</f>
        <v/>
      </c>
      <c r="N20" s="10"/>
      <c r="O20" s="14"/>
      <c r="P20" s="10"/>
      <c r="Q20" s="10"/>
    </row>
    <row r="21" spans="1:17" x14ac:dyDescent="0.35">
      <c r="A21" s="10"/>
      <c r="B21" s="10"/>
      <c r="C21" s="43" t="str">
        <f>IF(B21="","",IFERROR(INDEX(Assessment!$E$5:$E$2000,MATCH(B21,Assessment!$A$5:$A$2000,0)),"Not found"))</f>
        <v/>
      </c>
      <c r="D21" s="10"/>
      <c r="E21" s="10"/>
      <c r="F21" s="10"/>
      <c r="G21" s="10"/>
      <c r="H21" s="44" t="str">
        <f t="shared" si="0"/>
        <v/>
      </c>
      <c r="I21" s="44" t="str">
        <f>IF(H21="","",INDEX(Risk_Model!$B$30:$B$33,MATCH(H21,Risk_Model!$A$30:$A$33,1)))</f>
        <v/>
      </c>
      <c r="J21" s="10"/>
      <c r="K21" s="44" t="str">
        <f>IF(B21="","",IFERROR(IF(INDEX(Assessment!$K$5:$K$2000,MATCH(B21,Assessment!$A$5:$A$2000,0))="","",INDEX(Assessment!$K$5:$K$2000,MATCH(B21,Assessment!$A$5:$A$2000,0))),""))</f>
        <v/>
      </c>
      <c r="L21" s="47" t="str">
        <f>IF(OR(H21="",K21=""),"",ROUND(H21*(1-INDEX(Risk_Model!$C$38:$C$43,MATCH(K21,Risk_Model!$A$38:$A$43,0))),1))</f>
        <v/>
      </c>
      <c r="M21" s="44" t="str">
        <f>IF(L21="","",INDEX(Risk_Model!$B$30:$B$33,MATCH(L21,Risk_Model!$A$30:$A$33,1)))</f>
        <v/>
      </c>
      <c r="N21" s="10"/>
      <c r="O21" s="14"/>
      <c r="P21" s="10"/>
      <c r="Q21" s="10"/>
    </row>
    <row r="22" spans="1:17" x14ac:dyDescent="0.35">
      <c r="A22" s="10"/>
      <c r="B22" s="10"/>
      <c r="C22" s="43" t="str">
        <f>IF(B22="","",IFERROR(INDEX(Assessment!$E$5:$E$2000,MATCH(B22,Assessment!$A$5:$A$2000,0)),"Not found"))</f>
        <v/>
      </c>
      <c r="D22" s="10"/>
      <c r="E22" s="10"/>
      <c r="F22" s="10"/>
      <c r="G22" s="10"/>
      <c r="H22" s="44" t="str">
        <f t="shared" si="0"/>
        <v/>
      </c>
      <c r="I22" s="44" t="str">
        <f>IF(H22="","",INDEX(Risk_Model!$B$30:$B$33,MATCH(H22,Risk_Model!$A$30:$A$33,1)))</f>
        <v/>
      </c>
      <c r="J22" s="10"/>
      <c r="K22" s="44" t="str">
        <f>IF(B22="","",IFERROR(IF(INDEX(Assessment!$K$5:$K$2000,MATCH(B22,Assessment!$A$5:$A$2000,0))="","",INDEX(Assessment!$K$5:$K$2000,MATCH(B22,Assessment!$A$5:$A$2000,0))),""))</f>
        <v/>
      </c>
      <c r="L22" s="47" t="str">
        <f>IF(OR(H22="",K22=""),"",ROUND(H22*(1-INDEX(Risk_Model!$C$38:$C$43,MATCH(K22,Risk_Model!$A$38:$A$43,0))),1))</f>
        <v/>
      </c>
      <c r="M22" s="44" t="str">
        <f>IF(L22="","",INDEX(Risk_Model!$B$30:$B$33,MATCH(L22,Risk_Model!$A$30:$A$33,1)))</f>
        <v/>
      </c>
      <c r="N22" s="10"/>
      <c r="O22" s="14"/>
      <c r="P22" s="10"/>
      <c r="Q22" s="10"/>
    </row>
    <row r="23" spans="1:17" x14ac:dyDescent="0.35">
      <c r="A23" s="10"/>
      <c r="B23" s="10"/>
      <c r="C23" s="43" t="str">
        <f>IF(B23="","",IFERROR(INDEX(Assessment!$E$5:$E$2000,MATCH(B23,Assessment!$A$5:$A$2000,0)),"Not found"))</f>
        <v/>
      </c>
      <c r="D23" s="10"/>
      <c r="E23" s="10"/>
      <c r="F23" s="10"/>
      <c r="G23" s="10"/>
      <c r="H23" s="44" t="str">
        <f t="shared" si="0"/>
        <v/>
      </c>
      <c r="I23" s="44" t="str">
        <f>IF(H23="","",INDEX(Risk_Model!$B$30:$B$33,MATCH(H23,Risk_Model!$A$30:$A$33,1)))</f>
        <v/>
      </c>
      <c r="J23" s="10"/>
      <c r="K23" s="44" t="str">
        <f>IF(B23="","",IFERROR(IF(INDEX(Assessment!$K$5:$K$2000,MATCH(B23,Assessment!$A$5:$A$2000,0))="","",INDEX(Assessment!$K$5:$K$2000,MATCH(B23,Assessment!$A$5:$A$2000,0))),""))</f>
        <v/>
      </c>
      <c r="L23" s="47" t="str">
        <f>IF(OR(H23="",K23=""),"",ROUND(H23*(1-INDEX(Risk_Model!$C$38:$C$43,MATCH(K23,Risk_Model!$A$38:$A$43,0))),1))</f>
        <v/>
      </c>
      <c r="M23" s="44" t="str">
        <f>IF(L23="","",INDEX(Risk_Model!$B$30:$B$33,MATCH(L23,Risk_Model!$A$30:$A$33,1)))</f>
        <v/>
      </c>
      <c r="N23" s="10"/>
      <c r="O23" s="14"/>
      <c r="P23" s="10"/>
      <c r="Q23" s="10"/>
    </row>
    <row r="24" spans="1:17" x14ac:dyDescent="0.35">
      <c r="A24" s="10"/>
      <c r="B24" s="10"/>
      <c r="C24" s="43" t="str">
        <f>IF(B24="","",IFERROR(INDEX(Assessment!$E$5:$E$2000,MATCH(B24,Assessment!$A$5:$A$2000,0)),"Not found"))</f>
        <v/>
      </c>
      <c r="D24" s="10"/>
      <c r="E24" s="10"/>
      <c r="F24" s="10"/>
      <c r="G24" s="10"/>
      <c r="H24" s="44" t="str">
        <f t="shared" si="0"/>
        <v/>
      </c>
      <c r="I24" s="44" t="str">
        <f>IF(H24="","",INDEX(Risk_Model!$B$30:$B$33,MATCH(H24,Risk_Model!$A$30:$A$33,1)))</f>
        <v/>
      </c>
      <c r="J24" s="10"/>
      <c r="K24" s="44" t="str">
        <f>IF(B24="","",IFERROR(IF(INDEX(Assessment!$K$5:$K$2000,MATCH(B24,Assessment!$A$5:$A$2000,0))="","",INDEX(Assessment!$K$5:$K$2000,MATCH(B24,Assessment!$A$5:$A$2000,0))),""))</f>
        <v/>
      </c>
      <c r="L24" s="47" t="str">
        <f>IF(OR(H24="",K24=""),"",ROUND(H24*(1-INDEX(Risk_Model!$C$38:$C$43,MATCH(K24,Risk_Model!$A$38:$A$43,0))),1))</f>
        <v/>
      </c>
      <c r="M24" s="44" t="str">
        <f>IF(L24="","",INDEX(Risk_Model!$B$30:$B$33,MATCH(L24,Risk_Model!$A$30:$A$33,1)))</f>
        <v/>
      </c>
      <c r="N24" s="10"/>
      <c r="O24" s="14"/>
      <c r="P24" s="10"/>
      <c r="Q24" s="10"/>
    </row>
    <row r="25" spans="1:17" x14ac:dyDescent="0.35">
      <c r="A25" s="10"/>
      <c r="B25" s="10"/>
      <c r="C25" s="43" t="str">
        <f>IF(B25="","",IFERROR(INDEX(Assessment!$E$5:$E$2000,MATCH(B25,Assessment!$A$5:$A$2000,0)),"Not found"))</f>
        <v/>
      </c>
      <c r="D25" s="10"/>
      <c r="E25" s="10"/>
      <c r="F25" s="10"/>
      <c r="G25" s="10"/>
      <c r="H25" s="44" t="str">
        <f t="shared" si="0"/>
        <v/>
      </c>
      <c r="I25" s="44" t="str">
        <f>IF(H25="","",INDEX(Risk_Model!$B$30:$B$33,MATCH(H25,Risk_Model!$A$30:$A$33,1)))</f>
        <v/>
      </c>
      <c r="J25" s="10"/>
      <c r="K25" s="44" t="str">
        <f>IF(B25="","",IFERROR(IF(INDEX(Assessment!$K$5:$K$2000,MATCH(B25,Assessment!$A$5:$A$2000,0))="","",INDEX(Assessment!$K$5:$K$2000,MATCH(B25,Assessment!$A$5:$A$2000,0))),""))</f>
        <v/>
      </c>
      <c r="L25" s="47" t="str">
        <f>IF(OR(H25="",K25=""),"",ROUND(H25*(1-INDEX(Risk_Model!$C$38:$C$43,MATCH(K25,Risk_Model!$A$38:$A$43,0))),1))</f>
        <v/>
      </c>
      <c r="M25" s="44" t="str">
        <f>IF(L25="","",INDEX(Risk_Model!$B$30:$B$33,MATCH(L25,Risk_Model!$A$30:$A$33,1)))</f>
        <v/>
      </c>
      <c r="N25" s="10"/>
      <c r="O25" s="14"/>
      <c r="P25" s="10"/>
      <c r="Q25" s="10"/>
    </row>
    <row r="26" spans="1:17" x14ac:dyDescent="0.35">
      <c r="A26" s="10"/>
      <c r="B26" s="10"/>
      <c r="C26" s="43" t="str">
        <f>IF(B26="","",IFERROR(INDEX(Assessment!$E$5:$E$2000,MATCH(B26,Assessment!$A$5:$A$2000,0)),"Not found"))</f>
        <v/>
      </c>
      <c r="D26" s="10"/>
      <c r="E26" s="10"/>
      <c r="F26" s="10"/>
      <c r="G26" s="10"/>
      <c r="H26" s="44" t="str">
        <f t="shared" si="0"/>
        <v/>
      </c>
      <c r="I26" s="44" t="str">
        <f>IF(H26="","",INDEX(Risk_Model!$B$30:$B$33,MATCH(H26,Risk_Model!$A$30:$A$33,1)))</f>
        <v/>
      </c>
      <c r="J26" s="10"/>
      <c r="K26" s="44" t="str">
        <f>IF(B26="","",IFERROR(IF(INDEX(Assessment!$K$5:$K$2000,MATCH(B26,Assessment!$A$5:$A$2000,0))="","",INDEX(Assessment!$K$5:$K$2000,MATCH(B26,Assessment!$A$5:$A$2000,0))),""))</f>
        <v/>
      </c>
      <c r="L26" s="47" t="str">
        <f>IF(OR(H26="",K26=""),"",ROUND(H26*(1-INDEX(Risk_Model!$C$38:$C$43,MATCH(K26,Risk_Model!$A$38:$A$43,0))),1))</f>
        <v/>
      </c>
      <c r="M26" s="44" t="str">
        <f>IF(L26="","",INDEX(Risk_Model!$B$30:$B$33,MATCH(L26,Risk_Model!$A$30:$A$33,1)))</f>
        <v/>
      </c>
      <c r="N26" s="10"/>
      <c r="O26" s="14"/>
      <c r="P26" s="10"/>
      <c r="Q26" s="10"/>
    </row>
    <row r="27" spans="1:17" x14ac:dyDescent="0.35">
      <c r="A27" s="10"/>
      <c r="B27" s="10"/>
      <c r="C27" s="43" t="str">
        <f>IF(B27="","",IFERROR(INDEX(Assessment!$E$5:$E$2000,MATCH(B27,Assessment!$A$5:$A$2000,0)),"Not found"))</f>
        <v/>
      </c>
      <c r="D27" s="10"/>
      <c r="E27" s="10"/>
      <c r="F27" s="10"/>
      <c r="G27" s="10"/>
      <c r="H27" s="44" t="str">
        <f t="shared" si="0"/>
        <v/>
      </c>
      <c r="I27" s="44" t="str">
        <f>IF(H27="","",INDEX(Risk_Model!$B$30:$B$33,MATCH(H27,Risk_Model!$A$30:$A$33,1)))</f>
        <v/>
      </c>
      <c r="J27" s="10"/>
      <c r="K27" s="44" t="str">
        <f>IF(B27="","",IFERROR(IF(INDEX(Assessment!$K$5:$K$2000,MATCH(B27,Assessment!$A$5:$A$2000,0))="","",INDEX(Assessment!$K$5:$K$2000,MATCH(B27,Assessment!$A$5:$A$2000,0))),""))</f>
        <v/>
      </c>
      <c r="L27" s="47" t="str">
        <f>IF(OR(H27="",K27=""),"",ROUND(H27*(1-INDEX(Risk_Model!$C$38:$C$43,MATCH(K27,Risk_Model!$A$38:$A$43,0))),1))</f>
        <v/>
      </c>
      <c r="M27" s="44" t="str">
        <f>IF(L27="","",INDEX(Risk_Model!$B$30:$B$33,MATCH(L27,Risk_Model!$A$30:$A$33,1)))</f>
        <v/>
      </c>
      <c r="N27" s="10"/>
      <c r="O27" s="14"/>
      <c r="P27" s="10"/>
      <c r="Q27" s="10"/>
    </row>
    <row r="28" spans="1:17" x14ac:dyDescent="0.35">
      <c r="A28" s="10"/>
      <c r="B28" s="10"/>
      <c r="C28" s="43" t="str">
        <f>IF(B28="","",IFERROR(INDEX(Assessment!$E$5:$E$2000,MATCH(B28,Assessment!$A$5:$A$2000,0)),"Not found"))</f>
        <v/>
      </c>
      <c r="D28" s="10"/>
      <c r="E28" s="10"/>
      <c r="F28" s="10"/>
      <c r="G28" s="10"/>
      <c r="H28" s="44" t="str">
        <f t="shared" si="0"/>
        <v/>
      </c>
      <c r="I28" s="44" t="str">
        <f>IF(H28="","",INDEX(Risk_Model!$B$30:$B$33,MATCH(H28,Risk_Model!$A$30:$A$33,1)))</f>
        <v/>
      </c>
      <c r="J28" s="10"/>
      <c r="K28" s="44" t="str">
        <f>IF(B28="","",IFERROR(IF(INDEX(Assessment!$K$5:$K$2000,MATCH(B28,Assessment!$A$5:$A$2000,0))="","",INDEX(Assessment!$K$5:$K$2000,MATCH(B28,Assessment!$A$5:$A$2000,0))),""))</f>
        <v/>
      </c>
      <c r="L28" s="47" t="str">
        <f>IF(OR(H28="",K28=""),"",ROUND(H28*(1-INDEX(Risk_Model!$C$38:$C$43,MATCH(K28,Risk_Model!$A$38:$A$43,0))),1))</f>
        <v/>
      </c>
      <c r="M28" s="44" t="str">
        <f>IF(L28="","",INDEX(Risk_Model!$B$30:$B$33,MATCH(L28,Risk_Model!$A$30:$A$33,1)))</f>
        <v/>
      </c>
      <c r="N28" s="10"/>
      <c r="O28" s="14"/>
      <c r="P28" s="10"/>
      <c r="Q28" s="10"/>
    </row>
    <row r="29" spans="1:17" x14ac:dyDescent="0.35">
      <c r="A29" s="10"/>
      <c r="B29" s="10"/>
      <c r="C29" s="43" t="str">
        <f>IF(B29="","",IFERROR(INDEX(Assessment!$E$5:$E$2000,MATCH(B29,Assessment!$A$5:$A$2000,0)),"Not found"))</f>
        <v/>
      </c>
      <c r="D29" s="10"/>
      <c r="E29" s="10"/>
      <c r="F29" s="10"/>
      <c r="G29" s="10"/>
      <c r="H29" s="44" t="str">
        <f t="shared" si="0"/>
        <v/>
      </c>
      <c r="I29" s="44" t="str">
        <f>IF(H29="","",INDEX(Risk_Model!$B$30:$B$33,MATCH(H29,Risk_Model!$A$30:$A$33,1)))</f>
        <v/>
      </c>
      <c r="J29" s="10"/>
      <c r="K29" s="44" t="str">
        <f>IF(B29="","",IFERROR(IF(INDEX(Assessment!$K$5:$K$2000,MATCH(B29,Assessment!$A$5:$A$2000,0))="","",INDEX(Assessment!$K$5:$K$2000,MATCH(B29,Assessment!$A$5:$A$2000,0))),""))</f>
        <v/>
      </c>
      <c r="L29" s="47" t="str">
        <f>IF(OR(H29="",K29=""),"",ROUND(H29*(1-INDEX(Risk_Model!$C$38:$C$43,MATCH(K29,Risk_Model!$A$38:$A$43,0))),1))</f>
        <v/>
      </c>
      <c r="M29" s="44" t="str">
        <f>IF(L29="","",INDEX(Risk_Model!$B$30:$B$33,MATCH(L29,Risk_Model!$A$30:$A$33,1)))</f>
        <v/>
      </c>
      <c r="N29" s="10"/>
      <c r="O29" s="14"/>
      <c r="P29" s="10"/>
      <c r="Q29" s="10"/>
    </row>
    <row r="30" spans="1:17" x14ac:dyDescent="0.35">
      <c r="A30" s="10"/>
      <c r="B30" s="10"/>
      <c r="C30" s="43" t="str">
        <f>IF(B30="","",IFERROR(INDEX(Assessment!$E$5:$E$2000,MATCH(B30,Assessment!$A$5:$A$2000,0)),"Not found"))</f>
        <v/>
      </c>
      <c r="D30" s="10"/>
      <c r="E30" s="10"/>
      <c r="F30" s="10"/>
      <c r="G30" s="10"/>
      <c r="H30" s="44" t="str">
        <f t="shared" si="0"/>
        <v/>
      </c>
      <c r="I30" s="44" t="str">
        <f>IF(H30="","",INDEX(Risk_Model!$B$30:$B$33,MATCH(H30,Risk_Model!$A$30:$A$33,1)))</f>
        <v/>
      </c>
      <c r="J30" s="10"/>
      <c r="K30" s="44" t="str">
        <f>IF(B30="","",IFERROR(IF(INDEX(Assessment!$K$5:$K$2000,MATCH(B30,Assessment!$A$5:$A$2000,0))="","",INDEX(Assessment!$K$5:$K$2000,MATCH(B30,Assessment!$A$5:$A$2000,0))),""))</f>
        <v/>
      </c>
      <c r="L30" s="47" t="str">
        <f>IF(OR(H30="",K30=""),"",ROUND(H30*(1-INDEX(Risk_Model!$C$38:$C$43,MATCH(K30,Risk_Model!$A$38:$A$43,0))),1))</f>
        <v/>
      </c>
      <c r="M30" s="44" t="str">
        <f>IF(L30="","",INDEX(Risk_Model!$B$30:$B$33,MATCH(L30,Risk_Model!$A$30:$A$33,1)))</f>
        <v/>
      </c>
      <c r="N30" s="10"/>
      <c r="O30" s="14"/>
      <c r="P30" s="10"/>
      <c r="Q30" s="10"/>
    </row>
    <row r="31" spans="1:17" x14ac:dyDescent="0.35">
      <c r="A31" s="10"/>
      <c r="B31" s="10"/>
      <c r="C31" s="43" t="str">
        <f>IF(B31="","",IFERROR(INDEX(Assessment!$E$5:$E$2000,MATCH(B31,Assessment!$A$5:$A$2000,0)),"Not found"))</f>
        <v/>
      </c>
      <c r="D31" s="10"/>
      <c r="E31" s="10"/>
      <c r="F31" s="10"/>
      <c r="G31" s="10"/>
      <c r="H31" s="44" t="str">
        <f t="shared" si="0"/>
        <v/>
      </c>
      <c r="I31" s="44" t="str">
        <f>IF(H31="","",INDEX(Risk_Model!$B$30:$B$33,MATCH(H31,Risk_Model!$A$30:$A$33,1)))</f>
        <v/>
      </c>
      <c r="J31" s="10"/>
      <c r="K31" s="44" t="str">
        <f>IF(B31="","",IFERROR(IF(INDEX(Assessment!$K$5:$K$2000,MATCH(B31,Assessment!$A$5:$A$2000,0))="","",INDEX(Assessment!$K$5:$K$2000,MATCH(B31,Assessment!$A$5:$A$2000,0))),""))</f>
        <v/>
      </c>
      <c r="L31" s="47" t="str">
        <f>IF(OR(H31="",K31=""),"",ROUND(H31*(1-INDEX(Risk_Model!$C$38:$C$43,MATCH(K31,Risk_Model!$A$38:$A$43,0))),1))</f>
        <v/>
      </c>
      <c r="M31" s="44" t="str">
        <f>IF(L31="","",INDEX(Risk_Model!$B$30:$B$33,MATCH(L31,Risk_Model!$A$30:$A$33,1)))</f>
        <v/>
      </c>
      <c r="N31" s="10"/>
      <c r="O31" s="14"/>
      <c r="P31" s="10"/>
      <c r="Q31" s="10"/>
    </row>
    <row r="32" spans="1:17" x14ac:dyDescent="0.35">
      <c r="A32" s="10"/>
      <c r="B32" s="10"/>
      <c r="C32" s="43" t="str">
        <f>IF(B32="","",IFERROR(INDEX(Assessment!$E$5:$E$2000,MATCH(B32,Assessment!$A$5:$A$2000,0)),"Not found"))</f>
        <v/>
      </c>
      <c r="D32" s="10"/>
      <c r="E32" s="10"/>
      <c r="F32" s="10"/>
      <c r="G32" s="10"/>
      <c r="H32" s="44" t="str">
        <f t="shared" si="0"/>
        <v/>
      </c>
      <c r="I32" s="44" t="str">
        <f>IF(H32="","",INDEX(Risk_Model!$B$30:$B$33,MATCH(H32,Risk_Model!$A$30:$A$33,1)))</f>
        <v/>
      </c>
      <c r="J32" s="10"/>
      <c r="K32" s="44" t="str">
        <f>IF(B32="","",IFERROR(IF(INDEX(Assessment!$K$5:$K$2000,MATCH(B32,Assessment!$A$5:$A$2000,0))="","",INDEX(Assessment!$K$5:$K$2000,MATCH(B32,Assessment!$A$5:$A$2000,0))),""))</f>
        <v/>
      </c>
      <c r="L32" s="47" t="str">
        <f>IF(OR(H32="",K32=""),"",ROUND(H32*(1-INDEX(Risk_Model!$C$38:$C$43,MATCH(K32,Risk_Model!$A$38:$A$43,0))),1))</f>
        <v/>
      </c>
      <c r="M32" s="44" t="str">
        <f>IF(L32="","",INDEX(Risk_Model!$B$30:$B$33,MATCH(L32,Risk_Model!$A$30:$A$33,1)))</f>
        <v/>
      </c>
      <c r="N32" s="10"/>
      <c r="O32" s="14"/>
      <c r="P32" s="10"/>
      <c r="Q32" s="10"/>
    </row>
    <row r="33" spans="1:17" x14ac:dyDescent="0.35">
      <c r="A33" s="10"/>
      <c r="B33" s="10"/>
      <c r="C33" s="43" t="str">
        <f>IF(B33="","",IFERROR(INDEX(Assessment!$E$5:$E$2000,MATCH(B33,Assessment!$A$5:$A$2000,0)),"Not found"))</f>
        <v/>
      </c>
      <c r="D33" s="10"/>
      <c r="E33" s="10"/>
      <c r="F33" s="10"/>
      <c r="G33" s="10"/>
      <c r="H33" s="44" t="str">
        <f t="shared" si="0"/>
        <v/>
      </c>
      <c r="I33" s="44" t="str">
        <f>IF(H33="","",INDEX(Risk_Model!$B$30:$B$33,MATCH(H33,Risk_Model!$A$30:$A$33,1)))</f>
        <v/>
      </c>
      <c r="J33" s="10"/>
      <c r="K33" s="44" t="str">
        <f>IF(B33="","",IFERROR(IF(INDEX(Assessment!$K$5:$K$2000,MATCH(B33,Assessment!$A$5:$A$2000,0))="","",INDEX(Assessment!$K$5:$K$2000,MATCH(B33,Assessment!$A$5:$A$2000,0))),""))</f>
        <v/>
      </c>
      <c r="L33" s="47" t="str">
        <f>IF(OR(H33="",K33=""),"",ROUND(H33*(1-INDEX(Risk_Model!$C$38:$C$43,MATCH(K33,Risk_Model!$A$38:$A$43,0))),1))</f>
        <v/>
      </c>
      <c r="M33" s="44" t="str">
        <f>IF(L33="","",INDEX(Risk_Model!$B$30:$B$33,MATCH(L33,Risk_Model!$A$30:$A$33,1)))</f>
        <v/>
      </c>
      <c r="N33" s="10"/>
      <c r="O33" s="14"/>
      <c r="P33" s="10"/>
      <c r="Q33" s="10"/>
    </row>
    <row r="34" spans="1:17" x14ac:dyDescent="0.35">
      <c r="A34" s="10"/>
      <c r="B34" s="10"/>
      <c r="C34" s="43" t="str">
        <f>IF(B34="","",IFERROR(INDEX(Assessment!$E$5:$E$2000,MATCH(B34,Assessment!$A$5:$A$2000,0)),"Not found"))</f>
        <v/>
      </c>
      <c r="D34" s="10"/>
      <c r="E34" s="10"/>
      <c r="F34" s="10"/>
      <c r="G34" s="10"/>
      <c r="H34" s="44" t="str">
        <f t="shared" si="0"/>
        <v/>
      </c>
      <c r="I34" s="44" t="str">
        <f>IF(H34="","",INDEX(Risk_Model!$B$30:$B$33,MATCH(H34,Risk_Model!$A$30:$A$33,1)))</f>
        <v/>
      </c>
      <c r="J34" s="10"/>
      <c r="K34" s="44" t="str">
        <f>IF(B34="","",IFERROR(IF(INDEX(Assessment!$K$5:$K$2000,MATCH(B34,Assessment!$A$5:$A$2000,0))="","",INDEX(Assessment!$K$5:$K$2000,MATCH(B34,Assessment!$A$5:$A$2000,0))),""))</f>
        <v/>
      </c>
      <c r="L34" s="47" t="str">
        <f>IF(OR(H34="",K34=""),"",ROUND(H34*(1-INDEX(Risk_Model!$C$38:$C$43,MATCH(K34,Risk_Model!$A$38:$A$43,0))),1))</f>
        <v/>
      </c>
      <c r="M34" s="44" t="str">
        <f>IF(L34="","",INDEX(Risk_Model!$B$30:$B$33,MATCH(L34,Risk_Model!$A$30:$A$33,1)))</f>
        <v/>
      </c>
      <c r="N34" s="10"/>
      <c r="O34" s="14"/>
      <c r="P34" s="10"/>
      <c r="Q34" s="10"/>
    </row>
    <row r="35" spans="1:17" x14ac:dyDescent="0.35">
      <c r="A35" s="10"/>
      <c r="B35" s="10"/>
      <c r="C35" s="43" t="str">
        <f>IF(B35="","",IFERROR(INDEX(Assessment!$E$5:$E$2000,MATCH(B35,Assessment!$A$5:$A$2000,0)),"Not found"))</f>
        <v/>
      </c>
      <c r="D35" s="10"/>
      <c r="E35" s="10"/>
      <c r="F35" s="10"/>
      <c r="G35" s="10"/>
      <c r="H35" s="44" t="str">
        <f t="shared" si="0"/>
        <v/>
      </c>
      <c r="I35" s="44" t="str">
        <f>IF(H35="","",INDEX(Risk_Model!$B$30:$B$33,MATCH(H35,Risk_Model!$A$30:$A$33,1)))</f>
        <v/>
      </c>
      <c r="J35" s="10"/>
      <c r="K35" s="44" t="str">
        <f>IF(B35="","",IFERROR(IF(INDEX(Assessment!$K$5:$K$2000,MATCH(B35,Assessment!$A$5:$A$2000,0))="","",INDEX(Assessment!$K$5:$K$2000,MATCH(B35,Assessment!$A$5:$A$2000,0))),""))</f>
        <v/>
      </c>
      <c r="L35" s="47" t="str">
        <f>IF(OR(H35="",K35=""),"",ROUND(H35*(1-INDEX(Risk_Model!$C$38:$C$43,MATCH(K35,Risk_Model!$A$38:$A$43,0))),1))</f>
        <v/>
      </c>
      <c r="M35" s="44" t="str">
        <f>IF(L35="","",INDEX(Risk_Model!$B$30:$B$33,MATCH(L35,Risk_Model!$A$30:$A$33,1)))</f>
        <v/>
      </c>
      <c r="N35" s="10"/>
      <c r="O35" s="14"/>
      <c r="P35" s="10"/>
      <c r="Q35" s="10"/>
    </row>
    <row r="36" spans="1:17" x14ac:dyDescent="0.35">
      <c r="A36" s="10"/>
      <c r="B36" s="10"/>
      <c r="C36" s="43" t="str">
        <f>IF(B36="","",IFERROR(INDEX(Assessment!$E$5:$E$2000,MATCH(B36,Assessment!$A$5:$A$2000,0)),"Not found"))</f>
        <v/>
      </c>
      <c r="D36" s="10"/>
      <c r="E36" s="10"/>
      <c r="F36" s="10"/>
      <c r="G36" s="10"/>
      <c r="H36" s="44" t="str">
        <f t="shared" si="0"/>
        <v/>
      </c>
      <c r="I36" s="44" t="str">
        <f>IF(H36="","",INDEX(Risk_Model!$B$30:$B$33,MATCH(H36,Risk_Model!$A$30:$A$33,1)))</f>
        <v/>
      </c>
      <c r="J36" s="10"/>
      <c r="K36" s="44" t="str">
        <f>IF(B36="","",IFERROR(IF(INDEX(Assessment!$K$5:$K$2000,MATCH(B36,Assessment!$A$5:$A$2000,0))="","",INDEX(Assessment!$K$5:$K$2000,MATCH(B36,Assessment!$A$5:$A$2000,0))),""))</f>
        <v/>
      </c>
      <c r="L36" s="47" t="str">
        <f>IF(OR(H36="",K36=""),"",ROUND(H36*(1-INDEX(Risk_Model!$C$38:$C$43,MATCH(K36,Risk_Model!$A$38:$A$43,0))),1))</f>
        <v/>
      </c>
      <c r="M36" s="44" t="str">
        <f>IF(L36="","",INDEX(Risk_Model!$B$30:$B$33,MATCH(L36,Risk_Model!$A$30:$A$33,1)))</f>
        <v/>
      </c>
      <c r="N36" s="10"/>
      <c r="O36" s="14"/>
      <c r="P36" s="10"/>
      <c r="Q36" s="10"/>
    </row>
    <row r="37" spans="1:17" x14ac:dyDescent="0.35">
      <c r="A37" s="10"/>
      <c r="B37" s="10"/>
      <c r="C37" s="43" t="str">
        <f>IF(B37="","",IFERROR(INDEX(Assessment!$E$5:$E$2000,MATCH(B37,Assessment!$A$5:$A$2000,0)),"Not found"))</f>
        <v/>
      </c>
      <c r="D37" s="10"/>
      <c r="E37" s="10"/>
      <c r="F37" s="10"/>
      <c r="G37" s="10"/>
      <c r="H37" s="44" t="str">
        <f t="shared" si="0"/>
        <v/>
      </c>
      <c r="I37" s="44" t="str">
        <f>IF(H37="","",INDEX(Risk_Model!$B$30:$B$33,MATCH(H37,Risk_Model!$A$30:$A$33,1)))</f>
        <v/>
      </c>
      <c r="J37" s="10"/>
      <c r="K37" s="44" t="str">
        <f>IF(B37="","",IFERROR(IF(INDEX(Assessment!$K$5:$K$2000,MATCH(B37,Assessment!$A$5:$A$2000,0))="","",INDEX(Assessment!$K$5:$K$2000,MATCH(B37,Assessment!$A$5:$A$2000,0))),""))</f>
        <v/>
      </c>
      <c r="L37" s="47" t="str">
        <f>IF(OR(H37="",K37=""),"",ROUND(H37*(1-INDEX(Risk_Model!$C$38:$C$43,MATCH(K37,Risk_Model!$A$38:$A$43,0))),1))</f>
        <v/>
      </c>
      <c r="M37" s="44" t="str">
        <f>IF(L37="","",INDEX(Risk_Model!$B$30:$B$33,MATCH(L37,Risk_Model!$A$30:$A$33,1)))</f>
        <v/>
      </c>
      <c r="N37" s="10"/>
      <c r="O37" s="14"/>
      <c r="P37" s="10"/>
      <c r="Q37" s="10"/>
    </row>
    <row r="38" spans="1:17" x14ac:dyDescent="0.35">
      <c r="A38" s="10"/>
      <c r="B38" s="10"/>
      <c r="C38" s="43" t="str">
        <f>IF(B38="","",IFERROR(INDEX(Assessment!$E$5:$E$2000,MATCH(B38,Assessment!$A$5:$A$2000,0)),"Not found"))</f>
        <v/>
      </c>
      <c r="D38" s="10"/>
      <c r="E38" s="10"/>
      <c r="F38" s="10"/>
      <c r="G38" s="10"/>
      <c r="H38" s="44" t="str">
        <f t="shared" si="0"/>
        <v/>
      </c>
      <c r="I38" s="44" t="str">
        <f>IF(H38="","",INDEX(Risk_Model!$B$30:$B$33,MATCH(H38,Risk_Model!$A$30:$A$33,1)))</f>
        <v/>
      </c>
      <c r="J38" s="10"/>
      <c r="K38" s="44" t="str">
        <f>IF(B38="","",IFERROR(IF(INDEX(Assessment!$K$5:$K$2000,MATCH(B38,Assessment!$A$5:$A$2000,0))="","",INDEX(Assessment!$K$5:$K$2000,MATCH(B38,Assessment!$A$5:$A$2000,0))),""))</f>
        <v/>
      </c>
      <c r="L38" s="47" t="str">
        <f>IF(OR(H38="",K38=""),"",ROUND(H38*(1-INDEX(Risk_Model!$C$38:$C$43,MATCH(K38,Risk_Model!$A$38:$A$43,0))),1))</f>
        <v/>
      </c>
      <c r="M38" s="44" t="str">
        <f>IF(L38="","",INDEX(Risk_Model!$B$30:$B$33,MATCH(L38,Risk_Model!$A$30:$A$33,1)))</f>
        <v/>
      </c>
      <c r="N38" s="10"/>
      <c r="O38" s="14"/>
      <c r="P38" s="10"/>
      <c r="Q38" s="10"/>
    </row>
    <row r="39" spans="1:17" x14ac:dyDescent="0.35">
      <c r="A39" s="10"/>
      <c r="B39" s="10"/>
      <c r="C39" s="43" t="str">
        <f>IF(B39="","",IFERROR(INDEX(Assessment!$E$5:$E$2000,MATCH(B39,Assessment!$A$5:$A$2000,0)),"Not found"))</f>
        <v/>
      </c>
      <c r="D39" s="10"/>
      <c r="E39" s="10"/>
      <c r="F39" s="10"/>
      <c r="G39" s="10"/>
      <c r="H39" s="44" t="str">
        <f t="shared" si="0"/>
        <v/>
      </c>
      <c r="I39" s="44" t="str">
        <f>IF(H39="","",INDEX(Risk_Model!$B$30:$B$33,MATCH(H39,Risk_Model!$A$30:$A$33,1)))</f>
        <v/>
      </c>
      <c r="J39" s="10"/>
      <c r="K39" s="44" t="str">
        <f>IF(B39="","",IFERROR(IF(INDEX(Assessment!$K$5:$K$2000,MATCH(B39,Assessment!$A$5:$A$2000,0))="","",INDEX(Assessment!$K$5:$K$2000,MATCH(B39,Assessment!$A$5:$A$2000,0))),""))</f>
        <v/>
      </c>
      <c r="L39" s="47" t="str">
        <f>IF(OR(H39="",K39=""),"",ROUND(H39*(1-INDEX(Risk_Model!$C$38:$C$43,MATCH(K39,Risk_Model!$A$38:$A$43,0))),1))</f>
        <v/>
      </c>
      <c r="M39" s="44" t="str">
        <f>IF(L39="","",INDEX(Risk_Model!$B$30:$B$33,MATCH(L39,Risk_Model!$A$30:$A$33,1)))</f>
        <v/>
      </c>
      <c r="N39" s="10"/>
      <c r="O39" s="14"/>
      <c r="P39" s="10"/>
      <c r="Q39" s="10"/>
    </row>
    <row r="40" spans="1:17" x14ac:dyDescent="0.35">
      <c r="A40" s="10"/>
      <c r="B40" s="10"/>
      <c r="C40" s="43" t="str">
        <f>IF(B40="","",IFERROR(INDEX(Assessment!$E$5:$E$2000,MATCH(B40,Assessment!$A$5:$A$2000,0)),"Not found"))</f>
        <v/>
      </c>
      <c r="D40" s="10"/>
      <c r="E40" s="10"/>
      <c r="F40" s="10"/>
      <c r="G40" s="10"/>
      <c r="H40" s="44" t="str">
        <f t="shared" si="0"/>
        <v/>
      </c>
      <c r="I40" s="44" t="str">
        <f>IF(H40="","",INDEX(Risk_Model!$B$30:$B$33,MATCH(H40,Risk_Model!$A$30:$A$33,1)))</f>
        <v/>
      </c>
      <c r="J40" s="10"/>
      <c r="K40" s="44" t="str">
        <f>IF(B40="","",IFERROR(IF(INDEX(Assessment!$K$5:$K$2000,MATCH(B40,Assessment!$A$5:$A$2000,0))="","",INDEX(Assessment!$K$5:$K$2000,MATCH(B40,Assessment!$A$5:$A$2000,0))),""))</f>
        <v/>
      </c>
      <c r="L40" s="47" t="str">
        <f>IF(OR(H40="",K40=""),"",ROUND(H40*(1-INDEX(Risk_Model!$C$38:$C$43,MATCH(K40,Risk_Model!$A$38:$A$43,0))),1))</f>
        <v/>
      </c>
      <c r="M40" s="44" t="str">
        <f>IF(L40="","",INDEX(Risk_Model!$B$30:$B$33,MATCH(L40,Risk_Model!$A$30:$A$33,1)))</f>
        <v/>
      </c>
      <c r="N40" s="10"/>
      <c r="O40" s="14"/>
      <c r="P40" s="10"/>
      <c r="Q40" s="10"/>
    </row>
    <row r="41" spans="1:17" x14ac:dyDescent="0.35">
      <c r="A41" s="10"/>
      <c r="B41" s="10"/>
      <c r="C41" s="43" t="str">
        <f>IF(B41="","",IFERROR(INDEX(Assessment!$E$5:$E$2000,MATCH(B41,Assessment!$A$5:$A$2000,0)),"Not found"))</f>
        <v/>
      </c>
      <c r="D41" s="10"/>
      <c r="E41" s="10"/>
      <c r="F41" s="10"/>
      <c r="G41" s="10"/>
      <c r="H41" s="44" t="str">
        <f t="shared" si="0"/>
        <v/>
      </c>
      <c r="I41" s="44" t="str">
        <f>IF(H41="","",INDEX(Risk_Model!$B$30:$B$33,MATCH(H41,Risk_Model!$A$30:$A$33,1)))</f>
        <v/>
      </c>
      <c r="J41" s="10"/>
      <c r="K41" s="44" t="str">
        <f>IF(B41="","",IFERROR(IF(INDEX(Assessment!$K$5:$K$2000,MATCH(B41,Assessment!$A$5:$A$2000,0))="","",INDEX(Assessment!$K$5:$K$2000,MATCH(B41,Assessment!$A$5:$A$2000,0))),""))</f>
        <v/>
      </c>
      <c r="L41" s="47" t="str">
        <f>IF(OR(H41="",K41=""),"",ROUND(H41*(1-INDEX(Risk_Model!$C$38:$C$43,MATCH(K41,Risk_Model!$A$38:$A$43,0))),1))</f>
        <v/>
      </c>
      <c r="M41" s="44" t="str">
        <f>IF(L41="","",INDEX(Risk_Model!$B$30:$B$33,MATCH(L41,Risk_Model!$A$30:$A$33,1)))</f>
        <v/>
      </c>
      <c r="N41" s="10"/>
      <c r="O41" s="14"/>
      <c r="P41" s="10"/>
      <c r="Q41" s="10"/>
    </row>
    <row r="42" spans="1:17" x14ac:dyDescent="0.35">
      <c r="A42" s="10"/>
      <c r="B42" s="10"/>
      <c r="C42" s="43" t="str">
        <f>IF(B42="","",IFERROR(INDEX(Assessment!$E$5:$E$2000,MATCH(B42,Assessment!$A$5:$A$2000,0)),"Not found"))</f>
        <v/>
      </c>
      <c r="D42" s="10"/>
      <c r="E42" s="10"/>
      <c r="F42" s="10"/>
      <c r="G42" s="10"/>
      <c r="H42" s="44" t="str">
        <f t="shared" si="0"/>
        <v/>
      </c>
      <c r="I42" s="44" t="str">
        <f>IF(H42="","",INDEX(Risk_Model!$B$30:$B$33,MATCH(H42,Risk_Model!$A$30:$A$33,1)))</f>
        <v/>
      </c>
      <c r="J42" s="10"/>
      <c r="K42" s="44" t="str">
        <f>IF(B42="","",IFERROR(IF(INDEX(Assessment!$K$5:$K$2000,MATCH(B42,Assessment!$A$5:$A$2000,0))="","",INDEX(Assessment!$K$5:$K$2000,MATCH(B42,Assessment!$A$5:$A$2000,0))),""))</f>
        <v/>
      </c>
      <c r="L42" s="47" t="str">
        <f>IF(OR(H42="",K42=""),"",ROUND(H42*(1-INDEX(Risk_Model!$C$38:$C$43,MATCH(K42,Risk_Model!$A$38:$A$43,0))),1))</f>
        <v/>
      </c>
      <c r="M42" s="44" t="str">
        <f>IF(L42="","",INDEX(Risk_Model!$B$30:$B$33,MATCH(L42,Risk_Model!$A$30:$A$33,1)))</f>
        <v/>
      </c>
      <c r="N42" s="10"/>
      <c r="O42" s="14"/>
      <c r="P42" s="10"/>
      <c r="Q42" s="10"/>
    </row>
    <row r="43" spans="1:17" x14ac:dyDescent="0.35">
      <c r="A43" s="10"/>
      <c r="B43" s="10"/>
      <c r="C43" s="43" t="str">
        <f>IF(B43="","",IFERROR(INDEX(Assessment!$E$5:$E$2000,MATCH(B43,Assessment!$A$5:$A$2000,0)),"Not found"))</f>
        <v/>
      </c>
      <c r="D43" s="10"/>
      <c r="E43" s="10"/>
      <c r="F43" s="10"/>
      <c r="G43" s="10"/>
      <c r="H43" s="44" t="str">
        <f t="shared" si="0"/>
        <v/>
      </c>
      <c r="I43" s="44" t="str">
        <f>IF(H43="","",INDEX(Risk_Model!$B$30:$B$33,MATCH(H43,Risk_Model!$A$30:$A$33,1)))</f>
        <v/>
      </c>
      <c r="J43" s="10"/>
      <c r="K43" s="44" t="str">
        <f>IF(B43="","",IFERROR(IF(INDEX(Assessment!$K$5:$K$2000,MATCH(B43,Assessment!$A$5:$A$2000,0))="","",INDEX(Assessment!$K$5:$K$2000,MATCH(B43,Assessment!$A$5:$A$2000,0))),""))</f>
        <v/>
      </c>
      <c r="L43" s="47" t="str">
        <f>IF(OR(H43="",K43=""),"",ROUND(H43*(1-INDEX(Risk_Model!$C$38:$C$43,MATCH(K43,Risk_Model!$A$38:$A$43,0))),1))</f>
        <v/>
      </c>
      <c r="M43" s="44" t="str">
        <f>IF(L43="","",INDEX(Risk_Model!$B$30:$B$33,MATCH(L43,Risk_Model!$A$30:$A$33,1)))</f>
        <v/>
      </c>
      <c r="N43" s="10"/>
      <c r="O43" s="14"/>
      <c r="P43" s="10"/>
      <c r="Q43" s="10"/>
    </row>
    <row r="44" spans="1:17" x14ac:dyDescent="0.35">
      <c r="A44" s="10"/>
      <c r="B44" s="10"/>
      <c r="C44" s="43" t="str">
        <f>IF(B44="","",IFERROR(INDEX(Assessment!$E$5:$E$2000,MATCH(B44,Assessment!$A$5:$A$2000,0)),"Not found"))</f>
        <v/>
      </c>
      <c r="D44" s="10"/>
      <c r="E44" s="10"/>
      <c r="F44" s="10"/>
      <c r="G44" s="10"/>
      <c r="H44" s="44" t="str">
        <f t="shared" si="0"/>
        <v/>
      </c>
      <c r="I44" s="44" t="str">
        <f>IF(H44="","",INDEX(Risk_Model!$B$30:$B$33,MATCH(H44,Risk_Model!$A$30:$A$33,1)))</f>
        <v/>
      </c>
      <c r="J44" s="10"/>
      <c r="K44" s="44" t="str">
        <f>IF(B44="","",IFERROR(IF(INDEX(Assessment!$K$5:$K$2000,MATCH(B44,Assessment!$A$5:$A$2000,0))="","",INDEX(Assessment!$K$5:$K$2000,MATCH(B44,Assessment!$A$5:$A$2000,0))),""))</f>
        <v/>
      </c>
      <c r="L44" s="47" t="str">
        <f>IF(OR(H44="",K44=""),"",ROUND(H44*(1-INDEX(Risk_Model!$C$38:$C$43,MATCH(K44,Risk_Model!$A$38:$A$43,0))),1))</f>
        <v/>
      </c>
      <c r="M44" s="44" t="str">
        <f>IF(L44="","",INDEX(Risk_Model!$B$30:$B$33,MATCH(L44,Risk_Model!$A$30:$A$33,1)))</f>
        <v/>
      </c>
      <c r="N44" s="10"/>
      <c r="O44" s="14"/>
      <c r="P44" s="10"/>
      <c r="Q44" s="10"/>
    </row>
    <row r="45" spans="1:17" x14ac:dyDescent="0.35">
      <c r="A45" s="10"/>
      <c r="B45" s="10"/>
      <c r="C45" s="43" t="str">
        <f>IF(B45="","",IFERROR(INDEX(Assessment!$E$5:$E$2000,MATCH(B45,Assessment!$A$5:$A$2000,0)),"Not found"))</f>
        <v/>
      </c>
      <c r="D45" s="10"/>
      <c r="E45" s="10"/>
      <c r="F45" s="10"/>
      <c r="G45" s="10"/>
      <c r="H45" s="44" t="str">
        <f t="shared" si="0"/>
        <v/>
      </c>
      <c r="I45" s="44" t="str">
        <f>IF(H45="","",INDEX(Risk_Model!$B$30:$B$33,MATCH(H45,Risk_Model!$A$30:$A$33,1)))</f>
        <v/>
      </c>
      <c r="J45" s="10"/>
      <c r="K45" s="44" t="str">
        <f>IF(B45="","",IFERROR(IF(INDEX(Assessment!$K$5:$K$2000,MATCH(B45,Assessment!$A$5:$A$2000,0))="","",INDEX(Assessment!$K$5:$K$2000,MATCH(B45,Assessment!$A$5:$A$2000,0))),""))</f>
        <v/>
      </c>
      <c r="L45" s="47" t="str">
        <f>IF(OR(H45="",K45=""),"",ROUND(H45*(1-INDEX(Risk_Model!$C$38:$C$43,MATCH(K45,Risk_Model!$A$38:$A$43,0))),1))</f>
        <v/>
      </c>
      <c r="M45" s="44" t="str">
        <f>IF(L45="","",INDEX(Risk_Model!$B$30:$B$33,MATCH(L45,Risk_Model!$A$30:$A$33,1)))</f>
        <v/>
      </c>
      <c r="N45" s="10"/>
      <c r="O45" s="14"/>
      <c r="P45" s="10"/>
      <c r="Q45" s="10"/>
    </row>
    <row r="46" spans="1:17" x14ac:dyDescent="0.35">
      <c r="A46" s="10"/>
      <c r="B46" s="10"/>
      <c r="C46" s="43" t="str">
        <f>IF(B46="","",IFERROR(INDEX(Assessment!$E$5:$E$2000,MATCH(B46,Assessment!$A$5:$A$2000,0)),"Not found"))</f>
        <v/>
      </c>
      <c r="D46" s="10"/>
      <c r="E46" s="10"/>
      <c r="F46" s="10"/>
      <c r="G46" s="10"/>
      <c r="H46" s="44" t="str">
        <f t="shared" si="0"/>
        <v/>
      </c>
      <c r="I46" s="44" t="str">
        <f>IF(H46="","",INDEX(Risk_Model!$B$30:$B$33,MATCH(H46,Risk_Model!$A$30:$A$33,1)))</f>
        <v/>
      </c>
      <c r="J46" s="10"/>
      <c r="K46" s="44" t="str">
        <f>IF(B46="","",IFERROR(IF(INDEX(Assessment!$K$5:$K$2000,MATCH(B46,Assessment!$A$5:$A$2000,0))="","",INDEX(Assessment!$K$5:$K$2000,MATCH(B46,Assessment!$A$5:$A$2000,0))),""))</f>
        <v/>
      </c>
      <c r="L46" s="47" t="str">
        <f>IF(OR(H46="",K46=""),"",ROUND(H46*(1-INDEX(Risk_Model!$C$38:$C$43,MATCH(K46,Risk_Model!$A$38:$A$43,0))),1))</f>
        <v/>
      </c>
      <c r="M46" s="44" t="str">
        <f>IF(L46="","",INDEX(Risk_Model!$B$30:$B$33,MATCH(L46,Risk_Model!$A$30:$A$33,1)))</f>
        <v/>
      </c>
      <c r="N46" s="10"/>
      <c r="O46" s="14"/>
      <c r="P46" s="10"/>
      <c r="Q46" s="10"/>
    </row>
    <row r="47" spans="1:17" x14ac:dyDescent="0.35">
      <c r="A47" s="10"/>
      <c r="B47" s="10"/>
      <c r="C47" s="43" t="str">
        <f>IF(B47="","",IFERROR(INDEX(Assessment!$E$5:$E$2000,MATCH(B47,Assessment!$A$5:$A$2000,0)),"Not found"))</f>
        <v/>
      </c>
      <c r="D47" s="10"/>
      <c r="E47" s="10"/>
      <c r="F47" s="10"/>
      <c r="G47" s="10"/>
      <c r="H47" s="44" t="str">
        <f t="shared" si="0"/>
        <v/>
      </c>
      <c r="I47" s="44" t="str">
        <f>IF(H47="","",INDEX(Risk_Model!$B$30:$B$33,MATCH(H47,Risk_Model!$A$30:$A$33,1)))</f>
        <v/>
      </c>
      <c r="J47" s="10"/>
      <c r="K47" s="44" t="str">
        <f>IF(B47="","",IFERROR(IF(INDEX(Assessment!$K$5:$K$2000,MATCH(B47,Assessment!$A$5:$A$2000,0))="","",INDEX(Assessment!$K$5:$K$2000,MATCH(B47,Assessment!$A$5:$A$2000,0))),""))</f>
        <v/>
      </c>
      <c r="L47" s="47" t="str">
        <f>IF(OR(H47="",K47=""),"",ROUND(H47*(1-INDEX(Risk_Model!$C$38:$C$43,MATCH(K47,Risk_Model!$A$38:$A$43,0))),1))</f>
        <v/>
      </c>
      <c r="M47" s="44" t="str">
        <f>IF(L47="","",INDEX(Risk_Model!$B$30:$B$33,MATCH(L47,Risk_Model!$A$30:$A$33,1)))</f>
        <v/>
      </c>
      <c r="N47" s="10"/>
      <c r="O47" s="14"/>
      <c r="P47" s="10"/>
      <c r="Q47" s="10"/>
    </row>
    <row r="48" spans="1:17" x14ac:dyDescent="0.35">
      <c r="A48" s="10"/>
      <c r="B48" s="10"/>
      <c r="C48" s="43" t="str">
        <f>IF(B48="","",IFERROR(INDEX(Assessment!$E$5:$E$2000,MATCH(B48,Assessment!$A$5:$A$2000,0)),"Not found"))</f>
        <v/>
      </c>
      <c r="D48" s="10"/>
      <c r="E48" s="10"/>
      <c r="F48" s="10"/>
      <c r="G48" s="10"/>
      <c r="H48" s="44" t="str">
        <f t="shared" si="0"/>
        <v/>
      </c>
      <c r="I48" s="44" t="str">
        <f>IF(H48="","",INDEX(Risk_Model!$B$30:$B$33,MATCH(H48,Risk_Model!$A$30:$A$33,1)))</f>
        <v/>
      </c>
      <c r="J48" s="10"/>
      <c r="K48" s="44" t="str">
        <f>IF(B48="","",IFERROR(IF(INDEX(Assessment!$K$5:$K$2000,MATCH(B48,Assessment!$A$5:$A$2000,0))="","",INDEX(Assessment!$K$5:$K$2000,MATCH(B48,Assessment!$A$5:$A$2000,0))),""))</f>
        <v/>
      </c>
      <c r="L48" s="47" t="str">
        <f>IF(OR(H48="",K48=""),"",ROUND(H48*(1-INDEX(Risk_Model!$C$38:$C$43,MATCH(K48,Risk_Model!$A$38:$A$43,0))),1))</f>
        <v/>
      </c>
      <c r="M48" s="44" t="str">
        <f>IF(L48="","",INDEX(Risk_Model!$B$30:$B$33,MATCH(L48,Risk_Model!$A$30:$A$33,1)))</f>
        <v/>
      </c>
      <c r="N48" s="10"/>
      <c r="O48" s="14"/>
      <c r="P48" s="10"/>
      <c r="Q48" s="10"/>
    </row>
    <row r="49" spans="1:17" x14ac:dyDescent="0.35">
      <c r="A49" s="10"/>
      <c r="B49" s="10"/>
      <c r="C49" s="43" t="str">
        <f>IF(B49="","",IFERROR(INDEX(Assessment!$E$5:$E$2000,MATCH(B49,Assessment!$A$5:$A$2000,0)),"Not found"))</f>
        <v/>
      </c>
      <c r="D49" s="10"/>
      <c r="E49" s="10"/>
      <c r="F49" s="10"/>
      <c r="G49" s="10"/>
      <c r="H49" s="44" t="str">
        <f t="shared" si="0"/>
        <v/>
      </c>
      <c r="I49" s="44" t="str">
        <f>IF(H49="","",INDEX(Risk_Model!$B$30:$B$33,MATCH(H49,Risk_Model!$A$30:$A$33,1)))</f>
        <v/>
      </c>
      <c r="J49" s="10"/>
      <c r="K49" s="44" t="str">
        <f>IF(B49="","",IFERROR(IF(INDEX(Assessment!$K$5:$K$2000,MATCH(B49,Assessment!$A$5:$A$2000,0))="","",INDEX(Assessment!$K$5:$K$2000,MATCH(B49,Assessment!$A$5:$A$2000,0))),""))</f>
        <v/>
      </c>
      <c r="L49" s="47" t="str">
        <f>IF(OR(H49="",K49=""),"",ROUND(H49*(1-INDEX(Risk_Model!$C$38:$C$43,MATCH(K49,Risk_Model!$A$38:$A$43,0))),1))</f>
        <v/>
      </c>
      <c r="M49" s="44" t="str">
        <f>IF(L49="","",INDEX(Risk_Model!$B$30:$B$33,MATCH(L49,Risk_Model!$A$30:$A$33,1)))</f>
        <v/>
      </c>
      <c r="N49" s="10"/>
      <c r="O49" s="14"/>
      <c r="P49" s="10"/>
      <c r="Q49" s="10"/>
    </row>
    <row r="50" spans="1:17" x14ac:dyDescent="0.35">
      <c r="A50" s="10"/>
      <c r="B50" s="10"/>
      <c r="C50" s="43" t="str">
        <f>IF(B50="","",IFERROR(INDEX(Assessment!$E$5:$E$2000,MATCH(B50,Assessment!$A$5:$A$2000,0)),"Not found"))</f>
        <v/>
      </c>
      <c r="D50" s="10"/>
      <c r="E50" s="10"/>
      <c r="F50" s="10"/>
      <c r="G50" s="10"/>
      <c r="H50" s="44" t="str">
        <f t="shared" si="0"/>
        <v/>
      </c>
      <c r="I50" s="44" t="str">
        <f>IF(H50="","",INDEX(Risk_Model!$B$30:$B$33,MATCH(H50,Risk_Model!$A$30:$A$33,1)))</f>
        <v/>
      </c>
      <c r="J50" s="10"/>
      <c r="K50" s="44" t="str">
        <f>IF(B50="","",IFERROR(IF(INDEX(Assessment!$K$5:$K$2000,MATCH(B50,Assessment!$A$5:$A$2000,0))="","",INDEX(Assessment!$K$5:$K$2000,MATCH(B50,Assessment!$A$5:$A$2000,0))),""))</f>
        <v/>
      </c>
      <c r="L50" s="47" t="str">
        <f>IF(OR(H50="",K50=""),"",ROUND(H50*(1-INDEX(Risk_Model!$C$38:$C$43,MATCH(K50,Risk_Model!$A$38:$A$43,0))),1))</f>
        <v/>
      </c>
      <c r="M50" s="44" t="str">
        <f>IF(L50="","",INDEX(Risk_Model!$B$30:$B$33,MATCH(L50,Risk_Model!$A$30:$A$33,1)))</f>
        <v/>
      </c>
      <c r="N50" s="10"/>
      <c r="O50" s="14"/>
      <c r="P50" s="10"/>
      <c r="Q50" s="10"/>
    </row>
    <row r="51" spans="1:17" x14ac:dyDescent="0.35">
      <c r="A51" s="10"/>
      <c r="B51" s="10"/>
      <c r="C51" s="43" t="str">
        <f>IF(B51="","",IFERROR(INDEX(Assessment!$E$5:$E$2000,MATCH(B51,Assessment!$A$5:$A$2000,0)),"Not found"))</f>
        <v/>
      </c>
      <c r="D51" s="10"/>
      <c r="E51" s="10"/>
      <c r="F51" s="10"/>
      <c r="G51" s="10"/>
      <c r="H51" s="44" t="str">
        <f t="shared" si="0"/>
        <v/>
      </c>
      <c r="I51" s="44" t="str">
        <f>IF(H51="","",INDEX(Risk_Model!$B$30:$B$33,MATCH(H51,Risk_Model!$A$30:$A$33,1)))</f>
        <v/>
      </c>
      <c r="J51" s="10"/>
      <c r="K51" s="44" t="str">
        <f>IF(B51="","",IFERROR(IF(INDEX(Assessment!$K$5:$K$2000,MATCH(B51,Assessment!$A$5:$A$2000,0))="","",INDEX(Assessment!$K$5:$K$2000,MATCH(B51,Assessment!$A$5:$A$2000,0))),""))</f>
        <v/>
      </c>
      <c r="L51" s="47" t="str">
        <f>IF(OR(H51="",K51=""),"",ROUND(H51*(1-INDEX(Risk_Model!$C$38:$C$43,MATCH(K51,Risk_Model!$A$38:$A$43,0))),1))</f>
        <v/>
      </c>
      <c r="M51" s="44" t="str">
        <f>IF(L51="","",INDEX(Risk_Model!$B$30:$B$33,MATCH(L51,Risk_Model!$A$30:$A$33,1)))</f>
        <v/>
      </c>
      <c r="N51" s="10"/>
      <c r="O51" s="14"/>
      <c r="P51" s="10"/>
      <c r="Q51" s="10"/>
    </row>
    <row r="52" spans="1:17" x14ac:dyDescent="0.35">
      <c r="A52" s="10"/>
      <c r="B52" s="10"/>
      <c r="C52" s="43" t="str">
        <f>IF(B52="","",IFERROR(INDEX(Assessment!$E$5:$E$2000,MATCH(B52,Assessment!$A$5:$A$2000,0)),"Not found"))</f>
        <v/>
      </c>
      <c r="D52" s="10"/>
      <c r="E52" s="10"/>
      <c r="F52" s="10"/>
      <c r="G52" s="10"/>
      <c r="H52" s="44" t="str">
        <f t="shared" si="0"/>
        <v/>
      </c>
      <c r="I52" s="44" t="str">
        <f>IF(H52="","",INDEX(Risk_Model!$B$30:$B$33,MATCH(H52,Risk_Model!$A$30:$A$33,1)))</f>
        <v/>
      </c>
      <c r="J52" s="10"/>
      <c r="K52" s="44" t="str">
        <f>IF(B52="","",IFERROR(IF(INDEX(Assessment!$K$5:$K$2000,MATCH(B52,Assessment!$A$5:$A$2000,0))="","",INDEX(Assessment!$K$5:$K$2000,MATCH(B52,Assessment!$A$5:$A$2000,0))),""))</f>
        <v/>
      </c>
      <c r="L52" s="47" t="str">
        <f>IF(OR(H52="",K52=""),"",ROUND(H52*(1-INDEX(Risk_Model!$C$38:$C$43,MATCH(K52,Risk_Model!$A$38:$A$43,0))),1))</f>
        <v/>
      </c>
      <c r="M52" s="44" t="str">
        <f>IF(L52="","",INDEX(Risk_Model!$B$30:$B$33,MATCH(L52,Risk_Model!$A$30:$A$33,1)))</f>
        <v/>
      </c>
      <c r="N52" s="10"/>
      <c r="O52" s="14"/>
      <c r="P52" s="10"/>
      <c r="Q52" s="10"/>
    </row>
    <row r="53" spans="1:17" x14ac:dyDescent="0.35">
      <c r="A53" s="10"/>
      <c r="B53" s="10"/>
      <c r="C53" s="43" t="str">
        <f>IF(B53="","",IFERROR(INDEX(Assessment!$E$5:$E$2000,MATCH(B53,Assessment!$A$5:$A$2000,0)),"Not found"))</f>
        <v/>
      </c>
      <c r="D53" s="10"/>
      <c r="E53" s="10"/>
      <c r="F53" s="10"/>
      <c r="G53" s="10"/>
      <c r="H53" s="44" t="str">
        <f t="shared" si="0"/>
        <v/>
      </c>
      <c r="I53" s="44" t="str">
        <f>IF(H53="","",INDEX(Risk_Model!$B$30:$B$33,MATCH(H53,Risk_Model!$A$30:$A$33,1)))</f>
        <v/>
      </c>
      <c r="J53" s="10"/>
      <c r="K53" s="44" t="str">
        <f>IF(B53="","",IFERROR(IF(INDEX(Assessment!$K$5:$K$2000,MATCH(B53,Assessment!$A$5:$A$2000,0))="","",INDEX(Assessment!$K$5:$K$2000,MATCH(B53,Assessment!$A$5:$A$2000,0))),""))</f>
        <v/>
      </c>
      <c r="L53" s="47" t="str">
        <f>IF(OR(H53="",K53=""),"",ROUND(H53*(1-INDEX(Risk_Model!$C$38:$C$43,MATCH(K53,Risk_Model!$A$38:$A$43,0))),1))</f>
        <v/>
      </c>
      <c r="M53" s="44" t="str">
        <f>IF(L53="","",INDEX(Risk_Model!$B$30:$B$33,MATCH(L53,Risk_Model!$A$30:$A$33,1)))</f>
        <v/>
      </c>
      <c r="N53" s="10"/>
      <c r="O53" s="14"/>
      <c r="P53" s="10"/>
      <c r="Q53" s="10"/>
    </row>
    <row r="54" spans="1:17" x14ac:dyDescent="0.35">
      <c r="A54" s="10"/>
      <c r="B54" s="10"/>
      <c r="C54" s="43" t="str">
        <f>IF(B54="","",IFERROR(INDEX(Assessment!$E$5:$E$2000,MATCH(B54,Assessment!$A$5:$A$2000,0)),"Not found"))</f>
        <v/>
      </c>
      <c r="D54" s="10"/>
      <c r="E54" s="10"/>
      <c r="F54" s="10"/>
      <c r="G54" s="10"/>
      <c r="H54" s="44" t="str">
        <f t="shared" si="0"/>
        <v/>
      </c>
      <c r="I54" s="44" t="str">
        <f>IF(H54="","",INDEX(Risk_Model!$B$30:$B$33,MATCH(H54,Risk_Model!$A$30:$A$33,1)))</f>
        <v/>
      </c>
      <c r="J54" s="10"/>
      <c r="K54" s="44" t="str">
        <f>IF(B54="","",IFERROR(IF(INDEX(Assessment!$K$5:$K$2000,MATCH(B54,Assessment!$A$5:$A$2000,0))="","",INDEX(Assessment!$K$5:$K$2000,MATCH(B54,Assessment!$A$5:$A$2000,0))),""))</f>
        <v/>
      </c>
      <c r="L54" s="47" t="str">
        <f>IF(OR(H54="",K54=""),"",ROUND(H54*(1-INDEX(Risk_Model!$C$38:$C$43,MATCH(K54,Risk_Model!$A$38:$A$43,0))),1))</f>
        <v/>
      </c>
      <c r="M54" s="44" t="str">
        <f>IF(L54="","",INDEX(Risk_Model!$B$30:$B$33,MATCH(L54,Risk_Model!$A$30:$A$33,1)))</f>
        <v/>
      </c>
      <c r="N54" s="10"/>
      <c r="O54" s="14"/>
      <c r="P54" s="10"/>
      <c r="Q54" s="10"/>
    </row>
    <row r="55" spans="1:17" x14ac:dyDescent="0.35">
      <c r="A55" s="10"/>
      <c r="B55" s="10"/>
      <c r="C55" s="43" t="str">
        <f>IF(B55="","",IFERROR(INDEX(Assessment!$E$5:$E$2000,MATCH(B55,Assessment!$A$5:$A$2000,0)),"Not found"))</f>
        <v/>
      </c>
      <c r="D55" s="10"/>
      <c r="E55" s="10"/>
      <c r="F55" s="10"/>
      <c r="G55" s="10"/>
      <c r="H55" s="44" t="str">
        <f t="shared" si="0"/>
        <v/>
      </c>
      <c r="I55" s="44" t="str">
        <f>IF(H55="","",INDEX(Risk_Model!$B$30:$B$33,MATCH(H55,Risk_Model!$A$30:$A$33,1)))</f>
        <v/>
      </c>
      <c r="J55" s="10"/>
      <c r="K55" s="44" t="str">
        <f>IF(B55="","",IFERROR(IF(INDEX(Assessment!$K$5:$K$2000,MATCH(B55,Assessment!$A$5:$A$2000,0))="","",INDEX(Assessment!$K$5:$K$2000,MATCH(B55,Assessment!$A$5:$A$2000,0))),""))</f>
        <v/>
      </c>
      <c r="L55" s="47" t="str">
        <f>IF(OR(H55="",K55=""),"",ROUND(H55*(1-INDEX(Risk_Model!$C$38:$C$43,MATCH(K55,Risk_Model!$A$38:$A$43,0))),1))</f>
        <v/>
      </c>
      <c r="M55" s="44" t="str">
        <f>IF(L55="","",INDEX(Risk_Model!$B$30:$B$33,MATCH(L55,Risk_Model!$A$30:$A$33,1)))</f>
        <v/>
      </c>
      <c r="N55" s="10"/>
      <c r="O55" s="14"/>
      <c r="P55" s="10"/>
      <c r="Q55" s="10"/>
    </row>
    <row r="56" spans="1:17" x14ac:dyDescent="0.35">
      <c r="A56" s="10"/>
      <c r="B56" s="10"/>
      <c r="C56" s="43" t="str">
        <f>IF(B56="","",IFERROR(INDEX(Assessment!$E$5:$E$2000,MATCH(B56,Assessment!$A$5:$A$2000,0)),"Not found"))</f>
        <v/>
      </c>
      <c r="D56" s="10"/>
      <c r="E56" s="10"/>
      <c r="F56" s="10"/>
      <c r="G56" s="10"/>
      <c r="H56" s="44" t="str">
        <f t="shared" si="0"/>
        <v/>
      </c>
      <c r="I56" s="44" t="str">
        <f>IF(H56="","",INDEX(Risk_Model!$B$30:$B$33,MATCH(H56,Risk_Model!$A$30:$A$33,1)))</f>
        <v/>
      </c>
      <c r="J56" s="10"/>
      <c r="K56" s="44" t="str">
        <f>IF(B56="","",IFERROR(IF(INDEX(Assessment!$K$5:$K$2000,MATCH(B56,Assessment!$A$5:$A$2000,0))="","",INDEX(Assessment!$K$5:$K$2000,MATCH(B56,Assessment!$A$5:$A$2000,0))),""))</f>
        <v/>
      </c>
      <c r="L56" s="47" t="str">
        <f>IF(OR(H56="",K56=""),"",ROUND(H56*(1-INDEX(Risk_Model!$C$38:$C$43,MATCH(K56,Risk_Model!$A$38:$A$43,0))),1))</f>
        <v/>
      </c>
      <c r="M56" s="44" t="str">
        <f>IF(L56="","",INDEX(Risk_Model!$B$30:$B$33,MATCH(L56,Risk_Model!$A$30:$A$33,1)))</f>
        <v/>
      </c>
      <c r="N56" s="10"/>
      <c r="O56" s="14"/>
      <c r="P56" s="10"/>
      <c r="Q56" s="10"/>
    </row>
    <row r="57" spans="1:17" x14ac:dyDescent="0.35">
      <c r="A57" s="10"/>
      <c r="B57" s="10"/>
      <c r="C57" s="43" t="str">
        <f>IF(B57="","",IFERROR(INDEX(Assessment!$E$5:$E$2000,MATCH(B57,Assessment!$A$5:$A$2000,0)),"Not found"))</f>
        <v/>
      </c>
      <c r="D57" s="10"/>
      <c r="E57" s="10"/>
      <c r="F57" s="10"/>
      <c r="G57" s="10"/>
      <c r="H57" s="44" t="str">
        <f t="shared" si="0"/>
        <v/>
      </c>
      <c r="I57" s="44" t="str">
        <f>IF(H57="","",INDEX(Risk_Model!$B$30:$B$33,MATCH(H57,Risk_Model!$A$30:$A$33,1)))</f>
        <v/>
      </c>
      <c r="J57" s="10"/>
      <c r="K57" s="44" t="str">
        <f>IF(B57="","",IFERROR(IF(INDEX(Assessment!$K$5:$K$2000,MATCH(B57,Assessment!$A$5:$A$2000,0))="","",INDEX(Assessment!$K$5:$K$2000,MATCH(B57,Assessment!$A$5:$A$2000,0))),""))</f>
        <v/>
      </c>
      <c r="L57" s="47" t="str">
        <f>IF(OR(H57="",K57=""),"",ROUND(H57*(1-INDEX(Risk_Model!$C$38:$C$43,MATCH(K57,Risk_Model!$A$38:$A$43,0))),1))</f>
        <v/>
      </c>
      <c r="M57" s="44" t="str">
        <f>IF(L57="","",INDEX(Risk_Model!$B$30:$B$33,MATCH(L57,Risk_Model!$A$30:$A$33,1)))</f>
        <v/>
      </c>
      <c r="N57" s="10"/>
      <c r="O57" s="14"/>
      <c r="P57" s="10"/>
      <c r="Q57" s="10"/>
    </row>
    <row r="58" spans="1:17" x14ac:dyDescent="0.35">
      <c r="A58" s="10"/>
      <c r="B58" s="10"/>
      <c r="C58" s="43" t="str">
        <f>IF(B58="","",IFERROR(INDEX(Assessment!$E$5:$E$2000,MATCH(B58,Assessment!$A$5:$A$2000,0)),"Not found"))</f>
        <v/>
      </c>
      <c r="D58" s="10"/>
      <c r="E58" s="10"/>
      <c r="F58" s="10"/>
      <c r="G58" s="10"/>
      <c r="H58" s="44" t="str">
        <f t="shared" si="0"/>
        <v/>
      </c>
      <c r="I58" s="44" t="str">
        <f>IF(H58="","",INDEX(Risk_Model!$B$30:$B$33,MATCH(H58,Risk_Model!$A$30:$A$33,1)))</f>
        <v/>
      </c>
      <c r="J58" s="10"/>
      <c r="K58" s="44" t="str">
        <f>IF(B58="","",IFERROR(IF(INDEX(Assessment!$K$5:$K$2000,MATCH(B58,Assessment!$A$5:$A$2000,0))="","",INDEX(Assessment!$K$5:$K$2000,MATCH(B58,Assessment!$A$5:$A$2000,0))),""))</f>
        <v/>
      </c>
      <c r="L58" s="47" t="str">
        <f>IF(OR(H58="",K58=""),"",ROUND(H58*(1-INDEX(Risk_Model!$C$38:$C$43,MATCH(K58,Risk_Model!$A$38:$A$43,0))),1))</f>
        <v/>
      </c>
      <c r="M58" s="44" t="str">
        <f>IF(L58="","",INDEX(Risk_Model!$B$30:$B$33,MATCH(L58,Risk_Model!$A$30:$A$33,1)))</f>
        <v/>
      </c>
      <c r="N58" s="10"/>
      <c r="O58" s="14"/>
      <c r="P58" s="10"/>
      <c r="Q58" s="10"/>
    </row>
    <row r="59" spans="1:17" x14ac:dyDescent="0.35">
      <c r="A59" s="10"/>
      <c r="B59" s="10"/>
      <c r="C59" s="43" t="str">
        <f>IF(B59="","",IFERROR(INDEX(Assessment!$E$5:$E$2000,MATCH(B59,Assessment!$A$5:$A$2000,0)),"Not found"))</f>
        <v/>
      </c>
      <c r="D59" s="10"/>
      <c r="E59" s="10"/>
      <c r="F59" s="10"/>
      <c r="G59" s="10"/>
      <c r="H59" s="44" t="str">
        <f t="shared" si="0"/>
        <v/>
      </c>
      <c r="I59" s="44" t="str">
        <f>IF(H59="","",INDEX(Risk_Model!$B$30:$B$33,MATCH(H59,Risk_Model!$A$30:$A$33,1)))</f>
        <v/>
      </c>
      <c r="J59" s="10"/>
      <c r="K59" s="44" t="str">
        <f>IF(B59="","",IFERROR(IF(INDEX(Assessment!$K$5:$K$2000,MATCH(B59,Assessment!$A$5:$A$2000,0))="","",INDEX(Assessment!$K$5:$K$2000,MATCH(B59,Assessment!$A$5:$A$2000,0))),""))</f>
        <v/>
      </c>
      <c r="L59" s="47" t="str">
        <f>IF(OR(H59="",K59=""),"",ROUND(H59*(1-INDEX(Risk_Model!$C$38:$C$43,MATCH(K59,Risk_Model!$A$38:$A$43,0))),1))</f>
        <v/>
      </c>
      <c r="M59" s="44" t="str">
        <f>IF(L59="","",INDEX(Risk_Model!$B$30:$B$33,MATCH(L59,Risk_Model!$A$30:$A$33,1)))</f>
        <v/>
      </c>
      <c r="N59" s="10"/>
      <c r="O59" s="14"/>
      <c r="P59" s="10"/>
      <c r="Q59" s="10"/>
    </row>
    <row r="60" spans="1:17" x14ac:dyDescent="0.35">
      <c r="A60" s="10"/>
      <c r="B60" s="10"/>
      <c r="C60" s="43" t="str">
        <f>IF(B60="","",IFERROR(INDEX(Assessment!$E$5:$E$2000,MATCH(B60,Assessment!$A$5:$A$2000,0)),"Not found"))</f>
        <v/>
      </c>
      <c r="D60" s="10"/>
      <c r="E60" s="10"/>
      <c r="F60" s="10"/>
      <c r="G60" s="10"/>
      <c r="H60" s="44" t="str">
        <f t="shared" si="0"/>
        <v/>
      </c>
      <c r="I60" s="44" t="str">
        <f>IF(H60="","",INDEX(Risk_Model!$B$30:$B$33,MATCH(H60,Risk_Model!$A$30:$A$33,1)))</f>
        <v/>
      </c>
      <c r="J60" s="10"/>
      <c r="K60" s="44" t="str">
        <f>IF(B60="","",IFERROR(IF(INDEX(Assessment!$K$5:$K$2000,MATCH(B60,Assessment!$A$5:$A$2000,0))="","",INDEX(Assessment!$K$5:$K$2000,MATCH(B60,Assessment!$A$5:$A$2000,0))),""))</f>
        <v/>
      </c>
      <c r="L60" s="47" t="str">
        <f>IF(OR(H60="",K60=""),"",ROUND(H60*(1-INDEX(Risk_Model!$C$38:$C$43,MATCH(K60,Risk_Model!$A$38:$A$43,0))),1))</f>
        <v/>
      </c>
      <c r="M60" s="44" t="str">
        <f>IF(L60="","",INDEX(Risk_Model!$B$30:$B$33,MATCH(L60,Risk_Model!$A$30:$A$33,1)))</f>
        <v/>
      </c>
      <c r="N60" s="10"/>
      <c r="O60" s="14"/>
      <c r="P60" s="10"/>
      <c r="Q60" s="10"/>
    </row>
    <row r="61" spans="1:17" x14ac:dyDescent="0.35">
      <c r="A61" s="10"/>
      <c r="B61" s="10"/>
      <c r="C61" s="43" t="str">
        <f>IF(B61="","",IFERROR(INDEX(Assessment!$E$5:$E$2000,MATCH(B61,Assessment!$A$5:$A$2000,0)),"Not found"))</f>
        <v/>
      </c>
      <c r="D61" s="10"/>
      <c r="E61" s="10"/>
      <c r="F61" s="10"/>
      <c r="G61" s="10"/>
      <c r="H61" s="44" t="str">
        <f t="shared" si="0"/>
        <v/>
      </c>
      <c r="I61" s="44" t="str">
        <f>IF(H61="","",INDEX(Risk_Model!$B$30:$B$33,MATCH(H61,Risk_Model!$A$30:$A$33,1)))</f>
        <v/>
      </c>
      <c r="J61" s="10"/>
      <c r="K61" s="44" t="str">
        <f>IF(B61="","",IFERROR(IF(INDEX(Assessment!$K$5:$K$2000,MATCH(B61,Assessment!$A$5:$A$2000,0))="","",INDEX(Assessment!$K$5:$K$2000,MATCH(B61,Assessment!$A$5:$A$2000,0))),""))</f>
        <v/>
      </c>
      <c r="L61" s="47" t="str">
        <f>IF(OR(H61="",K61=""),"",ROUND(H61*(1-INDEX(Risk_Model!$C$38:$C$43,MATCH(K61,Risk_Model!$A$38:$A$43,0))),1))</f>
        <v/>
      </c>
      <c r="M61" s="44" t="str">
        <f>IF(L61="","",INDEX(Risk_Model!$B$30:$B$33,MATCH(L61,Risk_Model!$A$30:$A$33,1)))</f>
        <v/>
      </c>
      <c r="N61" s="10"/>
      <c r="O61" s="14"/>
      <c r="P61" s="10"/>
      <c r="Q61" s="10"/>
    </row>
    <row r="62" spans="1:17" x14ac:dyDescent="0.35">
      <c r="A62" s="10"/>
      <c r="B62" s="10"/>
      <c r="C62" s="43" t="str">
        <f>IF(B62="","",IFERROR(INDEX(Assessment!$E$5:$E$2000,MATCH(B62,Assessment!$A$5:$A$2000,0)),"Not found"))</f>
        <v/>
      </c>
      <c r="D62" s="10"/>
      <c r="E62" s="10"/>
      <c r="F62" s="10"/>
      <c r="G62" s="10"/>
      <c r="H62" s="44" t="str">
        <f t="shared" si="0"/>
        <v/>
      </c>
      <c r="I62" s="44" t="str">
        <f>IF(H62="","",INDEX(Risk_Model!$B$30:$B$33,MATCH(H62,Risk_Model!$A$30:$A$33,1)))</f>
        <v/>
      </c>
      <c r="J62" s="10"/>
      <c r="K62" s="44" t="str">
        <f>IF(B62="","",IFERROR(IF(INDEX(Assessment!$K$5:$K$2000,MATCH(B62,Assessment!$A$5:$A$2000,0))="","",INDEX(Assessment!$K$5:$K$2000,MATCH(B62,Assessment!$A$5:$A$2000,0))),""))</f>
        <v/>
      </c>
      <c r="L62" s="47" t="str">
        <f>IF(OR(H62="",K62=""),"",ROUND(H62*(1-INDEX(Risk_Model!$C$38:$C$43,MATCH(K62,Risk_Model!$A$38:$A$43,0))),1))</f>
        <v/>
      </c>
      <c r="M62" s="44" t="str">
        <f>IF(L62="","",INDEX(Risk_Model!$B$30:$B$33,MATCH(L62,Risk_Model!$A$30:$A$33,1)))</f>
        <v/>
      </c>
      <c r="N62" s="10"/>
      <c r="O62" s="14"/>
      <c r="P62" s="10"/>
      <c r="Q62" s="10"/>
    </row>
    <row r="63" spans="1:17" x14ac:dyDescent="0.35">
      <c r="A63" s="10"/>
      <c r="B63" s="10"/>
      <c r="C63" s="43" t="str">
        <f>IF(B63="","",IFERROR(INDEX(Assessment!$E$5:$E$2000,MATCH(B63,Assessment!$A$5:$A$2000,0)),"Not found"))</f>
        <v/>
      </c>
      <c r="D63" s="10"/>
      <c r="E63" s="10"/>
      <c r="F63" s="10"/>
      <c r="G63" s="10"/>
      <c r="H63" s="44" t="str">
        <f t="shared" si="0"/>
        <v/>
      </c>
      <c r="I63" s="44" t="str">
        <f>IF(H63="","",INDEX(Risk_Model!$B$30:$B$33,MATCH(H63,Risk_Model!$A$30:$A$33,1)))</f>
        <v/>
      </c>
      <c r="J63" s="10"/>
      <c r="K63" s="44" t="str">
        <f>IF(B63="","",IFERROR(IF(INDEX(Assessment!$K$5:$K$2000,MATCH(B63,Assessment!$A$5:$A$2000,0))="","",INDEX(Assessment!$K$5:$K$2000,MATCH(B63,Assessment!$A$5:$A$2000,0))),""))</f>
        <v/>
      </c>
      <c r="L63" s="47" t="str">
        <f>IF(OR(H63="",K63=""),"",ROUND(H63*(1-INDEX(Risk_Model!$C$38:$C$43,MATCH(K63,Risk_Model!$A$38:$A$43,0))),1))</f>
        <v/>
      </c>
      <c r="M63" s="44" t="str">
        <f>IF(L63="","",INDEX(Risk_Model!$B$30:$B$33,MATCH(L63,Risk_Model!$A$30:$A$33,1)))</f>
        <v/>
      </c>
      <c r="N63" s="10"/>
      <c r="O63" s="14"/>
      <c r="P63" s="10"/>
      <c r="Q63" s="10"/>
    </row>
    <row r="64" spans="1:17" x14ac:dyDescent="0.35">
      <c r="A64" s="10"/>
      <c r="B64" s="10"/>
      <c r="C64" s="43" t="str">
        <f>IF(B64="","",IFERROR(INDEX(Assessment!$E$5:$E$2000,MATCH(B64,Assessment!$A$5:$A$2000,0)),"Not found"))</f>
        <v/>
      </c>
      <c r="D64" s="10"/>
      <c r="E64" s="10"/>
      <c r="F64" s="10"/>
      <c r="G64" s="10"/>
      <c r="H64" s="44" t="str">
        <f t="shared" si="0"/>
        <v/>
      </c>
      <c r="I64" s="44" t="str">
        <f>IF(H64="","",INDEX(Risk_Model!$B$30:$B$33,MATCH(H64,Risk_Model!$A$30:$A$33,1)))</f>
        <v/>
      </c>
      <c r="J64" s="10"/>
      <c r="K64" s="44" t="str">
        <f>IF(B64="","",IFERROR(IF(INDEX(Assessment!$K$5:$K$2000,MATCH(B64,Assessment!$A$5:$A$2000,0))="","",INDEX(Assessment!$K$5:$K$2000,MATCH(B64,Assessment!$A$5:$A$2000,0))),""))</f>
        <v/>
      </c>
      <c r="L64" s="47" t="str">
        <f>IF(OR(H64="",K64=""),"",ROUND(H64*(1-INDEX(Risk_Model!$C$38:$C$43,MATCH(K64,Risk_Model!$A$38:$A$43,0))),1))</f>
        <v/>
      </c>
      <c r="M64" s="44" t="str">
        <f>IF(L64="","",INDEX(Risk_Model!$B$30:$B$33,MATCH(L64,Risk_Model!$A$30:$A$33,1)))</f>
        <v/>
      </c>
      <c r="N64" s="10"/>
      <c r="O64" s="14"/>
      <c r="P64" s="10"/>
      <c r="Q64" s="10"/>
    </row>
    <row r="65" spans="1:17" x14ac:dyDescent="0.35">
      <c r="A65" s="10"/>
      <c r="B65" s="10"/>
      <c r="C65" s="43" t="str">
        <f>IF(B65="","",IFERROR(INDEX(Assessment!$E$5:$E$2000,MATCH(B65,Assessment!$A$5:$A$2000,0)),"Not found"))</f>
        <v/>
      </c>
      <c r="D65" s="10"/>
      <c r="E65" s="10"/>
      <c r="F65" s="10"/>
      <c r="G65" s="10"/>
      <c r="H65" s="44" t="str">
        <f t="shared" si="0"/>
        <v/>
      </c>
      <c r="I65" s="44" t="str">
        <f>IF(H65="","",INDEX(Risk_Model!$B$30:$B$33,MATCH(H65,Risk_Model!$A$30:$A$33,1)))</f>
        <v/>
      </c>
      <c r="J65" s="10"/>
      <c r="K65" s="44" t="str">
        <f>IF(B65="","",IFERROR(IF(INDEX(Assessment!$K$5:$K$2000,MATCH(B65,Assessment!$A$5:$A$2000,0))="","",INDEX(Assessment!$K$5:$K$2000,MATCH(B65,Assessment!$A$5:$A$2000,0))),""))</f>
        <v/>
      </c>
      <c r="L65" s="47" t="str">
        <f>IF(OR(H65="",K65=""),"",ROUND(H65*(1-INDEX(Risk_Model!$C$38:$C$43,MATCH(K65,Risk_Model!$A$38:$A$43,0))),1))</f>
        <v/>
      </c>
      <c r="M65" s="44" t="str">
        <f>IF(L65="","",INDEX(Risk_Model!$B$30:$B$33,MATCH(L65,Risk_Model!$A$30:$A$33,1)))</f>
        <v/>
      </c>
      <c r="N65" s="10"/>
      <c r="O65" s="14"/>
      <c r="P65" s="10"/>
      <c r="Q65" s="10"/>
    </row>
    <row r="66" spans="1:17" x14ac:dyDescent="0.35">
      <c r="A66" s="10"/>
      <c r="B66" s="10"/>
      <c r="C66" s="43" t="str">
        <f>IF(B66="","",IFERROR(INDEX(Assessment!$E$5:$E$2000,MATCH(B66,Assessment!$A$5:$A$2000,0)),"Not found"))</f>
        <v/>
      </c>
      <c r="D66" s="10"/>
      <c r="E66" s="10"/>
      <c r="F66" s="10"/>
      <c r="G66" s="10"/>
      <c r="H66" s="44" t="str">
        <f t="shared" si="0"/>
        <v/>
      </c>
      <c r="I66" s="44" t="str">
        <f>IF(H66="","",INDEX(Risk_Model!$B$30:$B$33,MATCH(H66,Risk_Model!$A$30:$A$33,1)))</f>
        <v/>
      </c>
      <c r="J66" s="10"/>
      <c r="K66" s="44" t="str">
        <f>IF(B66="","",IFERROR(IF(INDEX(Assessment!$K$5:$K$2000,MATCH(B66,Assessment!$A$5:$A$2000,0))="","",INDEX(Assessment!$K$5:$K$2000,MATCH(B66,Assessment!$A$5:$A$2000,0))),""))</f>
        <v/>
      </c>
      <c r="L66" s="47" t="str">
        <f>IF(OR(H66="",K66=""),"",ROUND(H66*(1-INDEX(Risk_Model!$C$38:$C$43,MATCH(K66,Risk_Model!$A$38:$A$43,0))),1))</f>
        <v/>
      </c>
      <c r="M66" s="44" t="str">
        <f>IF(L66="","",INDEX(Risk_Model!$B$30:$B$33,MATCH(L66,Risk_Model!$A$30:$A$33,1)))</f>
        <v/>
      </c>
      <c r="N66" s="10"/>
      <c r="O66" s="14"/>
      <c r="P66" s="10"/>
      <c r="Q66" s="10"/>
    </row>
    <row r="67" spans="1:17" x14ac:dyDescent="0.35">
      <c r="A67" s="10"/>
      <c r="B67" s="10"/>
      <c r="C67" s="43" t="str">
        <f>IF(B67="","",IFERROR(INDEX(Assessment!$E$5:$E$2000,MATCH(B67,Assessment!$A$5:$A$2000,0)),"Not found"))</f>
        <v/>
      </c>
      <c r="D67" s="10"/>
      <c r="E67" s="10"/>
      <c r="F67" s="10"/>
      <c r="G67" s="10"/>
      <c r="H67" s="44" t="str">
        <f t="shared" si="0"/>
        <v/>
      </c>
      <c r="I67" s="44" t="str">
        <f>IF(H67="","",INDEX(Risk_Model!$B$30:$B$33,MATCH(H67,Risk_Model!$A$30:$A$33,1)))</f>
        <v/>
      </c>
      <c r="J67" s="10"/>
      <c r="K67" s="44" t="str">
        <f>IF(B67="","",IFERROR(IF(INDEX(Assessment!$K$5:$K$2000,MATCH(B67,Assessment!$A$5:$A$2000,0))="","",INDEX(Assessment!$K$5:$K$2000,MATCH(B67,Assessment!$A$5:$A$2000,0))),""))</f>
        <v/>
      </c>
      <c r="L67" s="47" t="str">
        <f>IF(OR(H67="",K67=""),"",ROUND(H67*(1-INDEX(Risk_Model!$C$38:$C$43,MATCH(K67,Risk_Model!$A$38:$A$43,0))),1))</f>
        <v/>
      </c>
      <c r="M67" s="44" t="str">
        <f>IF(L67="","",INDEX(Risk_Model!$B$30:$B$33,MATCH(L67,Risk_Model!$A$30:$A$33,1)))</f>
        <v/>
      </c>
      <c r="N67" s="10"/>
      <c r="O67" s="14"/>
      <c r="P67" s="10"/>
      <c r="Q67" s="10"/>
    </row>
    <row r="68" spans="1:17" x14ac:dyDescent="0.35">
      <c r="A68" s="10"/>
      <c r="B68" s="10"/>
      <c r="C68" s="43" t="str">
        <f>IF(B68="","",IFERROR(INDEX(Assessment!$E$5:$E$2000,MATCH(B68,Assessment!$A$5:$A$2000,0)),"Not found"))</f>
        <v/>
      </c>
      <c r="D68" s="10"/>
      <c r="E68" s="10"/>
      <c r="F68" s="10"/>
      <c r="G68" s="10"/>
      <c r="H68" s="44" t="str">
        <f t="shared" si="0"/>
        <v/>
      </c>
      <c r="I68" s="44" t="str">
        <f>IF(H68="","",INDEX(Risk_Model!$B$30:$B$33,MATCH(H68,Risk_Model!$A$30:$A$33,1)))</f>
        <v/>
      </c>
      <c r="J68" s="10"/>
      <c r="K68" s="44" t="str">
        <f>IF(B68="","",IFERROR(IF(INDEX(Assessment!$K$5:$K$2000,MATCH(B68,Assessment!$A$5:$A$2000,0))="","",INDEX(Assessment!$K$5:$K$2000,MATCH(B68,Assessment!$A$5:$A$2000,0))),""))</f>
        <v/>
      </c>
      <c r="L68" s="47" t="str">
        <f>IF(OR(H68="",K68=""),"",ROUND(H68*(1-INDEX(Risk_Model!$C$38:$C$43,MATCH(K68,Risk_Model!$A$38:$A$43,0))),1))</f>
        <v/>
      </c>
      <c r="M68" s="44" t="str">
        <f>IF(L68="","",INDEX(Risk_Model!$B$30:$B$33,MATCH(L68,Risk_Model!$A$30:$A$33,1)))</f>
        <v/>
      </c>
      <c r="N68" s="10"/>
      <c r="O68" s="14"/>
      <c r="P68" s="10"/>
      <c r="Q68" s="10"/>
    </row>
    <row r="69" spans="1:17" x14ac:dyDescent="0.35">
      <c r="A69" s="10"/>
      <c r="B69" s="10"/>
      <c r="C69" s="43" t="str">
        <f>IF(B69="","",IFERROR(INDEX(Assessment!$E$5:$E$2000,MATCH(B69,Assessment!$A$5:$A$2000,0)),"Not found"))</f>
        <v/>
      </c>
      <c r="D69" s="10"/>
      <c r="E69" s="10"/>
      <c r="F69" s="10"/>
      <c r="G69" s="10"/>
      <c r="H69" s="44" t="str">
        <f t="shared" ref="H69:H132" si="1">IF(OR(F69="",G69=""),"",F69*G69)</f>
        <v/>
      </c>
      <c r="I69" s="44" t="str">
        <f>IF(H69="","",INDEX(Risk_Model!$B$30:$B$33,MATCH(H69,Risk_Model!$A$30:$A$33,1)))</f>
        <v/>
      </c>
      <c r="J69" s="10"/>
      <c r="K69" s="44" t="str">
        <f>IF(B69="","",IFERROR(IF(INDEX(Assessment!$K$5:$K$2000,MATCH(B69,Assessment!$A$5:$A$2000,0))="","",INDEX(Assessment!$K$5:$K$2000,MATCH(B69,Assessment!$A$5:$A$2000,0))),""))</f>
        <v/>
      </c>
      <c r="L69" s="47" t="str">
        <f>IF(OR(H69="",K69=""),"",ROUND(H69*(1-INDEX(Risk_Model!$C$38:$C$43,MATCH(K69,Risk_Model!$A$38:$A$43,0))),1))</f>
        <v/>
      </c>
      <c r="M69" s="44" t="str">
        <f>IF(L69="","",INDEX(Risk_Model!$B$30:$B$33,MATCH(L69,Risk_Model!$A$30:$A$33,1)))</f>
        <v/>
      </c>
      <c r="N69" s="10"/>
      <c r="O69" s="14"/>
      <c r="P69" s="10"/>
      <c r="Q69" s="10"/>
    </row>
    <row r="70" spans="1:17" x14ac:dyDescent="0.35">
      <c r="A70" s="10"/>
      <c r="B70" s="10"/>
      <c r="C70" s="43" t="str">
        <f>IF(B70="","",IFERROR(INDEX(Assessment!$E$5:$E$2000,MATCH(B70,Assessment!$A$5:$A$2000,0)),"Not found"))</f>
        <v/>
      </c>
      <c r="D70" s="10"/>
      <c r="E70" s="10"/>
      <c r="F70" s="10"/>
      <c r="G70" s="10"/>
      <c r="H70" s="44" t="str">
        <f t="shared" si="1"/>
        <v/>
      </c>
      <c r="I70" s="44" t="str">
        <f>IF(H70="","",INDEX(Risk_Model!$B$30:$B$33,MATCH(H70,Risk_Model!$A$30:$A$33,1)))</f>
        <v/>
      </c>
      <c r="J70" s="10"/>
      <c r="K70" s="44" t="str">
        <f>IF(B70="","",IFERROR(IF(INDEX(Assessment!$K$5:$K$2000,MATCH(B70,Assessment!$A$5:$A$2000,0))="","",INDEX(Assessment!$K$5:$K$2000,MATCH(B70,Assessment!$A$5:$A$2000,0))),""))</f>
        <v/>
      </c>
      <c r="L70" s="47" t="str">
        <f>IF(OR(H70="",K70=""),"",ROUND(H70*(1-INDEX(Risk_Model!$C$38:$C$43,MATCH(K70,Risk_Model!$A$38:$A$43,0))),1))</f>
        <v/>
      </c>
      <c r="M70" s="44" t="str">
        <f>IF(L70="","",INDEX(Risk_Model!$B$30:$B$33,MATCH(L70,Risk_Model!$A$30:$A$33,1)))</f>
        <v/>
      </c>
      <c r="N70" s="10"/>
      <c r="O70" s="14"/>
      <c r="P70" s="10"/>
      <c r="Q70" s="10"/>
    </row>
    <row r="71" spans="1:17" x14ac:dyDescent="0.35">
      <c r="A71" s="10"/>
      <c r="B71" s="10"/>
      <c r="C71" s="43" t="str">
        <f>IF(B71="","",IFERROR(INDEX(Assessment!$E$5:$E$2000,MATCH(B71,Assessment!$A$5:$A$2000,0)),"Not found"))</f>
        <v/>
      </c>
      <c r="D71" s="10"/>
      <c r="E71" s="10"/>
      <c r="F71" s="10"/>
      <c r="G71" s="10"/>
      <c r="H71" s="44" t="str">
        <f t="shared" si="1"/>
        <v/>
      </c>
      <c r="I71" s="44" t="str">
        <f>IF(H71="","",INDEX(Risk_Model!$B$30:$B$33,MATCH(H71,Risk_Model!$A$30:$A$33,1)))</f>
        <v/>
      </c>
      <c r="J71" s="10"/>
      <c r="K71" s="44" t="str">
        <f>IF(B71="","",IFERROR(IF(INDEX(Assessment!$K$5:$K$2000,MATCH(B71,Assessment!$A$5:$A$2000,0))="","",INDEX(Assessment!$K$5:$K$2000,MATCH(B71,Assessment!$A$5:$A$2000,0))),""))</f>
        <v/>
      </c>
      <c r="L71" s="47" t="str">
        <f>IF(OR(H71="",K71=""),"",ROUND(H71*(1-INDEX(Risk_Model!$C$38:$C$43,MATCH(K71,Risk_Model!$A$38:$A$43,0))),1))</f>
        <v/>
      </c>
      <c r="M71" s="44" t="str">
        <f>IF(L71="","",INDEX(Risk_Model!$B$30:$B$33,MATCH(L71,Risk_Model!$A$30:$A$33,1)))</f>
        <v/>
      </c>
      <c r="N71" s="10"/>
      <c r="O71" s="14"/>
      <c r="P71" s="10"/>
      <c r="Q71" s="10"/>
    </row>
    <row r="72" spans="1:17" x14ac:dyDescent="0.35">
      <c r="A72" s="10"/>
      <c r="B72" s="10"/>
      <c r="C72" s="43" t="str">
        <f>IF(B72="","",IFERROR(INDEX(Assessment!$E$5:$E$2000,MATCH(B72,Assessment!$A$5:$A$2000,0)),"Not found"))</f>
        <v/>
      </c>
      <c r="D72" s="10"/>
      <c r="E72" s="10"/>
      <c r="F72" s="10"/>
      <c r="G72" s="10"/>
      <c r="H72" s="44" t="str">
        <f t="shared" si="1"/>
        <v/>
      </c>
      <c r="I72" s="44" t="str">
        <f>IF(H72="","",INDEX(Risk_Model!$B$30:$B$33,MATCH(H72,Risk_Model!$A$30:$A$33,1)))</f>
        <v/>
      </c>
      <c r="J72" s="10"/>
      <c r="K72" s="44" t="str">
        <f>IF(B72="","",IFERROR(IF(INDEX(Assessment!$K$5:$K$2000,MATCH(B72,Assessment!$A$5:$A$2000,0))="","",INDEX(Assessment!$K$5:$K$2000,MATCH(B72,Assessment!$A$5:$A$2000,0))),""))</f>
        <v/>
      </c>
      <c r="L72" s="47" t="str">
        <f>IF(OR(H72="",K72=""),"",ROUND(H72*(1-INDEX(Risk_Model!$C$38:$C$43,MATCH(K72,Risk_Model!$A$38:$A$43,0))),1))</f>
        <v/>
      </c>
      <c r="M72" s="44" t="str">
        <f>IF(L72="","",INDEX(Risk_Model!$B$30:$B$33,MATCH(L72,Risk_Model!$A$30:$A$33,1)))</f>
        <v/>
      </c>
      <c r="N72" s="10"/>
      <c r="O72" s="14"/>
      <c r="P72" s="10"/>
      <c r="Q72" s="10"/>
    </row>
    <row r="73" spans="1:17" x14ac:dyDescent="0.35">
      <c r="A73" s="10"/>
      <c r="B73" s="10"/>
      <c r="C73" s="43" t="str">
        <f>IF(B73="","",IFERROR(INDEX(Assessment!$E$5:$E$2000,MATCH(B73,Assessment!$A$5:$A$2000,0)),"Not found"))</f>
        <v/>
      </c>
      <c r="D73" s="10"/>
      <c r="E73" s="10"/>
      <c r="F73" s="10"/>
      <c r="G73" s="10"/>
      <c r="H73" s="44" t="str">
        <f t="shared" si="1"/>
        <v/>
      </c>
      <c r="I73" s="44" t="str">
        <f>IF(H73="","",INDEX(Risk_Model!$B$30:$B$33,MATCH(H73,Risk_Model!$A$30:$A$33,1)))</f>
        <v/>
      </c>
      <c r="J73" s="10"/>
      <c r="K73" s="44" t="str">
        <f>IF(B73="","",IFERROR(IF(INDEX(Assessment!$K$5:$K$2000,MATCH(B73,Assessment!$A$5:$A$2000,0))="","",INDEX(Assessment!$K$5:$K$2000,MATCH(B73,Assessment!$A$5:$A$2000,0))),""))</f>
        <v/>
      </c>
      <c r="L73" s="47" t="str">
        <f>IF(OR(H73="",K73=""),"",ROUND(H73*(1-INDEX(Risk_Model!$C$38:$C$43,MATCH(K73,Risk_Model!$A$38:$A$43,0))),1))</f>
        <v/>
      </c>
      <c r="M73" s="44" t="str">
        <f>IF(L73="","",INDEX(Risk_Model!$B$30:$B$33,MATCH(L73,Risk_Model!$A$30:$A$33,1)))</f>
        <v/>
      </c>
      <c r="N73" s="10"/>
      <c r="O73" s="14"/>
      <c r="P73" s="10"/>
      <c r="Q73" s="10"/>
    </row>
    <row r="74" spans="1:17" x14ac:dyDescent="0.35">
      <c r="A74" s="10"/>
      <c r="B74" s="10"/>
      <c r="C74" s="43" t="str">
        <f>IF(B74="","",IFERROR(INDEX(Assessment!$E$5:$E$2000,MATCH(B74,Assessment!$A$5:$A$2000,0)),"Not found"))</f>
        <v/>
      </c>
      <c r="D74" s="10"/>
      <c r="E74" s="10"/>
      <c r="F74" s="10"/>
      <c r="G74" s="10"/>
      <c r="H74" s="44" t="str">
        <f t="shared" si="1"/>
        <v/>
      </c>
      <c r="I74" s="44" t="str">
        <f>IF(H74="","",INDEX(Risk_Model!$B$30:$B$33,MATCH(H74,Risk_Model!$A$30:$A$33,1)))</f>
        <v/>
      </c>
      <c r="J74" s="10"/>
      <c r="K74" s="44" t="str">
        <f>IF(B74="","",IFERROR(IF(INDEX(Assessment!$K$5:$K$2000,MATCH(B74,Assessment!$A$5:$A$2000,0))="","",INDEX(Assessment!$K$5:$K$2000,MATCH(B74,Assessment!$A$5:$A$2000,0))),""))</f>
        <v/>
      </c>
      <c r="L74" s="47" t="str">
        <f>IF(OR(H74="",K74=""),"",ROUND(H74*(1-INDEX(Risk_Model!$C$38:$C$43,MATCH(K74,Risk_Model!$A$38:$A$43,0))),1))</f>
        <v/>
      </c>
      <c r="M74" s="44" t="str">
        <f>IF(L74="","",INDEX(Risk_Model!$B$30:$B$33,MATCH(L74,Risk_Model!$A$30:$A$33,1)))</f>
        <v/>
      </c>
      <c r="N74" s="10"/>
      <c r="O74" s="14"/>
      <c r="P74" s="10"/>
      <c r="Q74" s="10"/>
    </row>
    <row r="75" spans="1:17" x14ac:dyDescent="0.35">
      <c r="A75" s="10"/>
      <c r="B75" s="10"/>
      <c r="C75" s="43" t="str">
        <f>IF(B75="","",IFERROR(INDEX(Assessment!$E$5:$E$2000,MATCH(B75,Assessment!$A$5:$A$2000,0)),"Not found"))</f>
        <v/>
      </c>
      <c r="D75" s="10"/>
      <c r="E75" s="10"/>
      <c r="F75" s="10"/>
      <c r="G75" s="10"/>
      <c r="H75" s="44" t="str">
        <f t="shared" si="1"/>
        <v/>
      </c>
      <c r="I75" s="44" t="str">
        <f>IF(H75="","",INDEX(Risk_Model!$B$30:$B$33,MATCH(H75,Risk_Model!$A$30:$A$33,1)))</f>
        <v/>
      </c>
      <c r="J75" s="10"/>
      <c r="K75" s="44" t="str">
        <f>IF(B75="","",IFERROR(IF(INDEX(Assessment!$K$5:$K$2000,MATCH(B75,Assessment!$A$5:$A$2000,0))="","",INDEX(Assessment!$K$5:$K$2000,MATCH(B75,Assessment!$A$5:$A$2000,0))),""))</f>
        <v/>
      </c>
      <c r="L75" s="47" t="str">
        <f>IF(OR(H75="",K75=""),"",ROUND(H75*(1-INDEX(Risk_Model!$C$38:$C$43,MATCH(K75,Risk_Model!$A$38:$A$43,0))),1))</f>
        <v/>
      </c>
      <c r="M75" s="44" t="str">
        <f>IF(L75="","",INDEX(Risk_Model!$B$30:$B$33,MATCH(L75,Risk_Model!$A$30:$A$33,1)))</f>
        <v/>
      </c>
      <c r="N75" s="10"/>
      <c r="O75" s="14"/>
      <c r="P75" s="10"/>
      <c r="Q75" s="10"/>
    </row>
    <row r="76" spans="1:17" x14ac:dyDescent="0.35">
      <c r="A76" s="10"/>
      <c r="B76" s="10"/>
      <c r="C76" s="43" t="str">
        <f>IF(B76="","",IFERROR(INDEX(Assessment!$E$5:$E$2000,MATCH(B76,Assessment!$A$5:$A$2000,0)),"Not found"))</f>
        <v/>
      </c>
      <c r="D76" s="10"/>
      <c r="E76" s="10"/>
      <c r="F76" s="10"/>
      <c r="G76" s="10"/>
      <c r="H76" s="44" t="str">
        <f t="shared" si="1"/>
        <v/>
      </c>
      <c r="I76" s="44" t="str">
        <f>IF(H76="","",INDEX(Risk_Model!$B$30:$B$33,MATCH(H76,Risk_Model!$A$30:$A$33,1)))</f>
        <v/>
      </c>
      <c r="J76" s="10"/>
      <c r="K76" s="44" t="str">
        <f>IF(B76="","",IFERROR(IF(INDEX(Assessment!$K$5:$K$2000,MATCH(B76,Assessment!$A$5:$A$2000,0))="","",INDEX(Assessment!$K$5:$K$2000,MATCH(B76,Assessment!$A$5:$A$2000,0))),""))</f>
        <v/>
      </c>
      <c r="L76" s="47" t="str">
        <f>IF(OR(H76="",K76=""),"",ROUND(H76*(1-INDEX(Risk_Model!$C$38:$C$43,MATCH(K76,Risk_Model!$A$38:$A$43,0))),1))</f>
        <v/>
      </c>
      <c r="M76" s="44" t="str">
        <f>IF(L76="","",INDEX(Risk_Model!$B$30:$B$33,MATCH(L76,Risk_Model!$A$30:$A$33,1)))</f>
        <v/>
      </c>
      <c r="N76" s="10"/>
      <c r="O76" s="14"/>
      <c r="P76" s="10"/>
      <c r="Q76" s="10"/>
    </row>
    <row r="77" spans="1:17" x14ac:dyDescent="0.35">
      <c r="A77" s="10"/>
      <c r="B77" s="10"/>
      <c r="C77" s="43" t="str">
        <f>IF(B77="","",IFERROR(INDEX(Assessment!$E$5:$E$2000,MATCH(B77,Assessment!$A$5:$A$2000,0)),"Not found"))</f>
        <v/>
      </c>
      <c r="D77" s="10"/>
      <c r="E77" s="10"/>
      <c r="F77" s="10"/>
      <c r="G77" s="10"/>
      <c r="H77" s="44" t="str">
        <f t="shared" si="1"/>
        <v/>
      </c>
      <c r="I77" s="44" t="str">
        <f>IF(H77="","",INDEX(Risk_Model!$B$30:$B$33,MATCH(H77,Risk_Model!$A$30:$A$33,1)))</f>
        <v/>
      </c>
      <c r="J77" s="10"/>
      <c r="K77" s="44" t="str">
        <f>IF(B77="","",IFERROR(IF(INDEX(Assessment!$K$5:$K$2000,MATCH(B77,Assessment!$A$5:$A$2000,0))="","",INDEX(Assessment!$K$5:$K$2000,MATCH(B77,Assessment!$A$5:$A$2000,0))),""))</f>
        <v/>
      </c>
      <c r="L77" s="47" t="str">
        <f>IF(OR(H77="",K77=""),"",ROUND(H77*(1-INDEX(Risk_Model!$C$38:$C$43,MATCH(K77,Risk_Model!$A$38:$A$43,0))),1))</f>
        <v/>
      </c>
      <c r="M77" s="44" t="str">
        <f>IF(L77="","",INDEX(Risk_Model!$B$30:$B$33,MATCH(L77,Risk_Model!$A$30:$A$33,1)))</f>
        <v/>
      </c>
      <c r="N77" s="10"/>
      <c r="O77" s="14"/>
      <c r="P77" s="10"/>
      <c r="Q77" s="10"/>
    </row>
    <row r="78" spans="1:17" x14ac:dyDescent="0.35">
      <c r="A78" s="10"/>
      <c r="B78" s="10"/>
      <c r="C78" s="43" t="str">
        <f>IF(B78="","",IFERROR(INDEX(Assessment!$E$5:$E$2000,MATCH(B78,Assessment!$A$5:$A$2000,0)),"Not found"))</f>
        <v/>
      </c>
      <c r="D78" s="10"/>
      <c r="E78" s="10"/>
      <c r="F78" s="10"/>
      <c r="G78" s="10"/>
      <c r="H78" s="44" t="str">
        <f t="shared" si="1"/>
        <v/>
      </c>
      <c r="I78" s="44" t="str">
        <f>IF(H78="","",INDEX(Risk_Model!$B$30:$B$33,MATCH(H78,Risk_Model!$A$30:$A$33,1)))</f>
        <v/>
      </c>
      <c r="J78" s="10"/>
      <c r="K78" s="44" t="str">
        <f>IF(B78="","",IFERROR(IF(INDEX(Assessment!$K$5:$K$2000,MATCH(B78,Assessment!$A$5:$A$2000,0))="","",INDEX(Assessment!$K$5:$K$2000,MATCH(B78,Assessment!$A$5:$A$2000,0))),""))</f>
        <v/>
      </c>
      <c r="L78" s="47" t="str">
        <f>IF(OR(H78="",K78=""),"",ROUND(H78*(1-INDEX(Risk_Model!$C$38:$C$43,MATCH(K78,Risk_Model!$A$38:$A$43,0))),1))</f>
        <v/>
      </c>
      <c r="M78" s="44" t="str">
        <f>IF(L78="","",INDEX(Risk_Model!$B$30:$B$33,MATCH(L78,Risk_Model!$A$30:$A$33,1)))</f>
        <v/>
      </c>
      <c r="N78" s="10"/>
      <c r="O78" s="14"/>
      <c r="P78" s="10"/>
      <c r="Q78" s="10"/>
    </row>
    <row r="79" spans="1:17" x14ac:dyDescent="0.35">
      <c r="A79" s="10"/>
      <c r="B79" s="10"/>
      <c r="C79" s="43" t="str">
        <f>IF(B79="","",IFERROR(INDEX(Assessment!$E$5:$E$2000,MATCH(B79,Assessment!$A$5:$A$2000,0)),"Not found"))</f>
        <v/>
      </c>
      <c r="D79" s="10"/>
      <c r="E79" s="10"/>
      <c r="F79" s="10"/>
      <c r="G79" s="10"/>
      <c r="H79" s="44" t="str">
        <f t="shared" si="1"/>
        <v/>
      </c>
      <c r="I79" s="44" t="str">
        <f>IF(H79="","",INDEX(Risk_Model!$B$30:$B$33,MATCH(H79,Risk_Model!$A$30:$A$33,1)))</f>
        <v/>
      </c>
      <c r="J79" s="10"/>
      <c r="K79" s="44" t="str">
        <f>IF(B79="","",IFERROR(IF(INDEX(Assessment!$K$5:$K$2000,MATCH(B79,Assessment!$A$5:$A$2000,0))="","",INDEX(Assessment!$K$5:$K$2000,MATCH(B79,Assessment!$A$5:$A$2000,0))),""))</f>
        <v/>
      </c>
      <c r="L79" s="47" t="str">
        <f>IF(OR(H79="",K79=""),"",ROUND(H79*(1-INDEX(Risk_Model!$C$38:$C$43,MATCH(K79,Risk_Model!$A$38:$A$43,0))),1))</f>
        <v/>
      </c>
      <c r="M79" s="44" t="str">
        <f>IF(L79="","",INDEX(Risk_Model!$B$30:$B$33,MATCH(L79,Risk_Model!$A$30:$A$33,1)))</f>
        <v/>
      </c>
      <c r="N79" s="10"/>
      <c r="O79" s="14"/>
      <c r="P79" s="10"/>
      <c r="Q79" s="10"/>
    </row>
    <row r="80" spans="1:17" x14ac:dyDescent="0.35">
      <c r="A80" s="10"/>
      <c r="B80" s="10"/>
      <c r="C80" s="43" t="str">
        <f>IF(B80="","",IFERROR(INDEX(Assessment!$E$5:$E$2000,MATCH(B80,Assessment!$A$5:$A$2000,0)),"Not found"))</f>
        <v/>
      </c>
      <c r="D80" s="10"/>
      <c r="E80" s="10"/>
      <c r="F80" s="10"/>
      <c r="G80" s="10"/>
      <c r="H80" s="44" t="str">
        <f t="shared" si="1"/>
        <v/>
      </c>
      <c r="I80" s="44" t="str">
        <f>IF(H80="","",INDEX(Risk_Model!$B$30:$B$33,MATCH(H80,Risk_Model!$A$30:$A$33,1)))</f>
        <v/>
      </c>
      <c r="J80" s="10"/>
      <c r="K80" s="44" t="str">
        <f>IF(B80="","",IFERROR(IF(INDEX(Assessment!$K$5:$K$2000,MATCH(B80,Assessment!$A$5:$A$2000,0))="","",INDEX(Assessment!$K$5:$K$2000,MATCH(B80,Assessment!$A$5:$A$2000,0))),""))</f>
        <v/>
      </c>
      <c r="L80" s="47" t="str">
        <f>IF(OR(H80="",K80=""),"",ROUND(H80*(1-INDEX(Risk_Model!$C$38:$C$43,MATCH(K80,Risk_Model!$A$38:$A$43,0))),1))</f>
        <v/>
      </c>
      <c r="M80" s="44" t="str">
        <f>IF(L80="","",INDEX(Risk_Model!$B$30:$B$33,MATCH(L80,Risk_Model!$A$30:$A$33,1)))</f>
        <v/>
      </c>
      <c r="N80" s="10"/>
      <c r="O80" s="14"/>
      <c r="P80" s="10"/>
      <c r="Q80" s="10"/>
    </row>
    <row r="81" spans="1:17" x14ac:dyDescent="0.35">
      <c r="A81" s="10"/>
      <c r="B81" s="10"/>
      <c r="C81" s="43" t="str">
        <f>IF(B81="","",IFERROR(INDEX(Assessment!$E$5:$E$2000,MATCH(B81,Assessment!$A$5:$A$2000,0)),"Not found"))</f>
        <v/>
      </c>
      <c r="D81" s="10"/>
      <c r="E81" s="10"/>
      <c r="F81" s="10"/>
      <c r="G81" s="10"/>
      <c r="H81" s="44" t="str">
        <f t="shared" si="1"/>
        <v/>
      </c>
      <c r="I81" s="44" t="str">
        <f>IF(H81="","",INDEX(Risk_Model!$B$30:$B$33,MATCH(H81,Risk_Model!$A$30:$A$33,1)))</f>
        <v/>
      </c>
      <c r="J81" s="10"/>
      <c r="K81" s="44" t="str">
        <f>IF(B81="","",IFERROR(IF(INDEX(Assessment!$K$5:$K$2000,MATCH(B81,Assessment!$A$5:$A$2000,0))="","",INDEX(Assessment!$K$5:$K$2000,MATCH(B81,Assessment!$A$5:$A$2000,0))),""))</f>
        <v/>
      </c>
      <c r="L81" s="47" t="str">
        <f>IF(OR(H81="",K81=""),"",ROUND(H81*(1-INDEX(Risk_Model!$C$38:$C$43,MATCH(K81,Risk_Model!$A$38:$A$43,0))),1))</f>
        <v/>
      </c>
      <c r="M81" s="44" t="str">
        <f>IF(L81="","",INDEX(Risk_Model!$B$30:$B$33,MATCH(L81,Risk_Model!$A$30:$A$33,1)))</f>
        <v/>
      </c>
      <c r="N81" s="10"/>
      <c r="O81" s="14"/>
      <c r="P81" s="10"/>
      <c r="Q81" s="10"/>
    </row>
    <row r="82" spans="1:17" x14ac:dyDescent="0.35">
      <c r="A82" s="10"/>
      <c r="B82" s="10"/>
      <c r="C82" s="43" t="str">
        <f>IF(B82="","",IFERROR(INDEX(Assessment!$E$5:$E$2000,MATCH(B82,Assessment!$A$5:$A$2000,0)),"Not found"))</f>
        <v/>
      </c>
      <c r="D82" s="10"/>
      <c r="E82" s="10"/>
      <c r="F82" s="10"/>
      <c r="G82" s="10"/>
      <c r="H82" s="44" t="str">
        <f t="shared" si="1"/>
        <v/>
      </c>
      <c r="I82" s="44" t="str">
        <f>IF(H82="","",INDEX(Risk_Model!$B$30:$B$33,MATCH(H82,Risk_Model!$A$30:$A$33,1)))</f>
        <v/>
      </c>
      <c r="J82" s="10"/>
      <c r="K82" s="44" t="str">
        <f>IF(B82="","",IFERROR(IF(INDEX(Assessment!$K$5:$K$2000,MATCH(B82,Assessment!$A$5:$A$2000,0))="","",INDEX(Assessment!$K$5:$K$2000,MATCH(B82,Assessment!$A$5:$A$2000,0))),""))</f>
        <v/>
      </c>
      <c r="L82" s="47" t="str">
        <f>IF(OR(H82="",K82=""),"",ROUND(H82*(1-INDEX(Risk_Model!$C$38:$C$43,MATCH(K82,Risk_Model!$A$38:$A$43,0))),1))</f>
        <v/>
      </c>
      <c r="M82" s="44" t="str">
        <f>IF(L82="","",INDEX(Risk_Model!$B$30:$B$33,MATCH(L82,Risk_Model!$A$30:$A$33,1)))</f>
        <v/>
      </c>
      <c r="N82" s="10"/>
      <c r="O82" s="14"/>
      <c r="P82" s="10"/>
      <c r="Q82" s="10"/>
    </row>
    <row r="83" spans="1:17" x14ac:dyDescent="0.35">
      <c r="A83" s="10"/>
      <c r="B83" s="10"/>
      <c r="C83" s="43" t="str">
        <f>IF(B83="","",IFERROR(INDEX(Assessment!$E$5:$E$2000,MATCH(B83,Assessment!$A$5:$A$2000,0)),"Not found"))</f>
        <v/>
      </c>
      <c r="D83" s="10"/>
      <c r="E83" s="10"/>
      <c r="F83" s="10"/>
      <c r="G83" s="10"/>
      <c r="H83" s="44" t="str">
        <f t="shared" si="1"/>
        <v/>
      </c>
      <c r="I83" s="44" t="str">
        <f>IF(H83="","",INDEX(Risk_Model!$B$30:$B$33,MATCH(H83,Risk_Model!$A$30:$A$33,1)))</f>
        <v/>
      </c>
      <c r="J83" s="10"/>
      <c r="K83" s="44" t="str">
        <f>IF(B83="","",IFERROR(IF(INDEX(Assessment!$K$5:$K$2000,MATCH(B83,Assessment!$A$5:$A$2000,0))="","",INDEX(Assessment!$K$5:$K$2000,MATCH(B83,Assessment!$A$5:$A$2000,0))),""))</f>
        <v/>
      </c>
      <c r="L83" s="47" t="str">
        <f>IF(OR(H83="",K83=""),"",ROUND(H83*(1-INDEX(Risk_Model!$C$38:$C$43,MATCH(K83,Risk_Model!$A$38:$A$43,0))),1))</f>
        <v/>
      </c>
      <c r="M83" s="44" t="str">
        <f>IF(L83="","",INDEX(Risk_Model!$B$30:$B$33,MATCH(L83,Risk_Model!$A$30:$A$33,1)))</f>
        <v/>
      </c>
      <c r="N83" s="10"/>
      <c r="O83" s="14"/>
      <c r="P83" s="10"/>
      <c r="Q83" s="10"/>
    </row>
    <row r="84" spans="1:17" x14ac:dyDescent="0.35">
      <c r="A84" s="10"/>
      <c r="B84" s="10"/>
      <c r="C84" s="43" t="str">
        <f>IF(B84="","",IFERROR(INDEX(Assessment!$E$5:$E$2000,MATCH(B84,Assessment!$A$5:$A$2000,0)),"Not found"))</f>
        <v/>
      </c>
      <c r="D84" s="10"/>
      <c r="E84" s="10"/>
      <c r="F84" s="10"/>
      <c r="G84" s="10"/>
      <c r="H84" s="44" t="str">
        <f t="shared" si="1"/>
        <v/>
      </c>
      <c r="I84" s="44" t="str">
        <f>IF(H84="","",INDEX(Risk_Model!$B$30:$B$33,MATCH(H84,Risk_Model!$A$30:$A$33,1)))</f>
        <v/>
      </c>
      <c r="J84" s="10"/>
      <c r="K84" s="44" t="str">
        <f>IF(B84="","",IFERROR(IF(INDEX(Assessment!$K$5:$K$2000,MATCH(B84,Assessment!$A$5:$A$2000,0))="","",INDEX(Assessment!$K$5:$K$2000,MATCH(B84,Assessment!$A$5:$A$2000,0))),""))</f>
        <v/>
      </c>
      <c r="L84" s="47" t="str">
        <f>IF(OR(H84="",K84=""),"",ROUND(H84*(1-INDEX(Risk_Model!$C$38:$C$43,MATCH(K84,Risk_Model!$A$38:$A$43,0))),1))</f>
        <v/>
      </c>
      <c r="M84" s="44" t="str">
        <f>IF(L84="","",INDEX(Risk_Model!$B$30:$B$33,MATCH(L84,Risk_Model!$A$30:$A$33,1)))</f>
        <v/>
      </c>
      <c r="N84" s="10"/>
      <c r="O84" s="14"/>
      <c r="P84" s="10"/>
      <c r="Q84" s="10"/>
    </row>
    <row r="85" spans="1:17" x14ac:dyDescent="0.35">
      <c r="A85" s="10"/>
      <c r="B85" s="10"/>
      <c r="C85" s="43" t="str">
        <f>IF(B85="","",IFERROR(INDEX(Assessment!$E$5:$E$2000,MATCH(B85,Assessment!$A$5:$A$2000,0)),"Not found"))</f>
        <v/>
      </c>
      <c r="D85" s="10"/>
      <c r="E85" s="10"/>
      <c r="F85" s="10"/>
      <c r="G85" s="10"/>
      <c r="H85" s="44" t="str">
        <f t="shared" si="1"/>
        <v/>
      </c>
      <c r="I85" s="44" t="str">
        <f>IF(H85="","",INDEX(Risk_Model!$B$30:$B$33,MATCH(H85,Risk_Model!$A$30:$A$33,1)))</f>
        <v/>
      </c>
      <c r="J85" s="10"/>
      <c r="K85" s="44" t="str">
        <f>IF(B85="","",IFERROR(IF(INDEX(Assessment!$K$5:$K$2000,MATCH(B85,Assessment!$A$5:$A$2000,0))="","",INDEX(Assessment!$K$5:$K$2000,MATCH(B85,Assessment!$A$5:$A$2000,0))),""))</f>
        <v/>
      </c>
      <c r="L85" s="47" t="str">
        <f>IF(OR(H85="",K85=""),"",ROUND(H85*(1-INDEX(Risk_Model!$C$38:$C$43,MATCH(K85,Risk_Model!$A$38:$A$43,0))),1))</f>
        <v/>
      </c>
      <c r="M85" s="44" t="str">
        <f>IF(L85="","",INDEX(Risk_Model!$B$30:$B$33,MATCH(L85,Risk_Model!$A$30:$A$33,1)))</f>
        <v/>
      </c>
      <c r="N85" s="10"/>
      <c r="O85" s="14"/>
      <c r="P85" s="10"/>
      <c r="Q85" s="10"/>
    </row>
    <row r="86" spans="1:17" x14ac:dyDescent="0.35">
      <c r="A86" s="10"/>
      <c r="B86" s="10"/>
      <c r="C86" s="43" t="str">
        <f>IF(B86="","",IFERROR(INDEX(Assessment!$E$5:$E$2000,MATCH(B86,Assessment!$A$5:$A$2000,0)),"Not found"))</f>
        <v/>
      </c>
      <c r="D86" s="10"/>
      <c r="E86" s="10"/>
      <c r="F86" s="10"/>
      <c r="G86" s="10"/>
      <c r="H86" s="44" t="str">
        <f t="shared" si="1"/>
        <v/>
      </c>
      <c r="I86" s="44" t="str">
        <f>IF(H86="","",INDEX(Risk_Model!$B$30:$B$33,MATCH(H86,Risk_Model!$A$30:$A$33,1)))</f>
        <v/>
      </c>
      <c r="J86" s="10"/>
      <c r="K86" s="44" t="str">
        <f>IF(B86="","",IFERROR(IF(INDEX(Assessment!$K$5:$K$2000,MATCH(B86,Assessment!$A$5:$A$2000,0))="","",INDEX(Assessment!$K$5:$K$2000,MATCH(B86,Assessment!$A$5:$A$2000,0))),""))</f>
        <v/>
      </c>
      <c r="L86" s="47" t="str">
        <f>IF(OR(H86="",K86=""),"",ROUND(H86*(1-INDEX(Risk_Model!$C$38:$C$43,MATCH(K86,Risk_Model!$A$38:$A$43,0))),1))</f>
        <v/>
      </c>
      <c r="M86" s="44" t="str">
        <f>IF(L86="","",INDEX(Risk_Model!$B$30:$B$33,MATCH(L86,Risk_Model!$A$30:$A$33,1)))</f>
        <v/>
      </c>
      <c r="N86" s="10"/>
      <c r="O86" s="14"/>
      <c r="P86" s="10"/>
      <c r="Q86" s="10"/>
    </row>
    <row r="87" spans="1:17" x14ac:dyDescent="0.35">
      <c r="A87" s="10"/>
      <c r="B87" s="10"/>
      <c r="C87" s="43" t="str">
        <f>IF(B87="","",IFERROR(INDEX(Assessment!$E$5:$E$2000,MATCH(B87,Assessment!$A$5:$A$2000,0)),"Not found"))</f>
        <v/>
      </c>
      <c r="D87" s="10"/>
      <c r="E87" s="10"/>
      <c r="F87" s="10"/>
      <c r="G87" s="10"/>
      <c r="H87" s="44" t="str">
        <f t="shared" si="1"/>
        <v/>
      </c>
      <c r="I87" s="44" t="str">
        <f>IF(H87="","",INDEX(Risk_Model!$B$30:$B$33,MATCH(H87,Risk_Model!$A$30:$A$33,1)))</f>
        <v/>
      </c>
      <c r="J87" s="10"/>
      <c r="K87" s="44" t="str">
        <f>IF(B87="","",IFERROR(IF(INDEX(Assessment!$K$5:$K$2000,MATCH(B87,Assessment!$A$5:$A$2000,0))="","",INDEX(Assessment!$K$5:$K$2000,MATCH(B87,Assessment!$A$5:$A$2000,0))),""))</f>
        <v/>
      </c>
      <c r="L87" s="47" t="str">
        <f>IF(OR(H87="",K87=""),"",ROUND(H87*(1-INDEX(Risk_Model!$C$38:$C$43,MATCH(K87,Risk_Model!$A$38:$A$43,0))),1))</f>
        <v/>
      </c>
      <c r="M87" s="44" t="str">
        <f>IF(L87="","",INDEX(Risk_Model!$B$30:$B$33,MATCH(L87,Risk_Model!$A$30:$A$33,1)))</f>
        <v/>
      </c>
      <c r="N87" s="10"/>
      <c r="O87" s="14"/>
      <c r="P87" s="10"/>
      <c r="Q87" s="10"/>
    </row>
    <row r="88" spans="1:17" x14ac:dyDescent="0.35">
      <c r="A88" s="10"/>
      <c r="B88" s="10"/>
      <c r="C88" s="43" t="str">
        <f>IF(B88="","",IFERROR(INDEX(Assessment!$E$5:$E$2000,MATCH(B88,Assessment!$A$5:$A$2000,0)),"Not found"))</f>
        <v/>
      </c>
      <c r="D88" s="10"/>
      <c r="E88" s="10"/>
      <c r="F88" s="10"/>
      <c r="G88" s="10"/>
      <c r="H88" s="44" t="str">
        <f t="shared" si="1"/>
        <v/>
      </c>
      <c r="I88" s="44" t="str">
        <f>IF(H88="","",INDEX(Risk_Model!$B$30:$B$33,MATCH(H88,Risk_Model!$A$30:$A$33,1)))</f>
        <v/>
      </c>
      <c r="J88" s="10"/>
      <c r="K88" s="44" t="str">
        <f>IF(B88="","",IFERROR(IF(INDEX(Assessment!$K$5:$K$2000,MATCH(B88,Assessment!$A$5:$A$2000,0))="","",INDEX(Assessment!$K$5:$K$2000,MATCH(B88,Assessment!$A$5:$A$2000,0))),""))</f>
        <v/>
      </c>
      <c r="L88" s="47" t="str">
        <f>IF(OR(H88="",K88=""),"",ROUND(H88*(1-INDEX(Risk_Model!$C$38:$C$43,MATCH(K88,Risk_Model!$A$38:$A$43,0))),1))</f>
        <v/>
      </c>
      <c r="M88" s="44" t="str">
        <f>IF(L88="","",INDEX(Risk_Model!$B$30:$B$33,MATCH(L88,Risk_Model!$A$30:$A$33,1)))</f>
        <v/>
      </c>
      <c r="N88" s="10"/>
      <c r="O88" s="14"/>
      <c r="P88" s="10"/>
      <c r="Q88" s="10"/>
    </row>
    <row r="89" spans="1:17" x14ac:dyDescent="0.35">
      <c r="A89" s="10"/>
      <c r="B89" s="10"/>
      <c r="C89" s="43" t="str">
        <f>IF(B89="","",IFERROR(INDEX(Assessment!$E$5:$E$2000,MATCH(B89,Assessment!$A$5:$A$2000,0)),"Not found"))</f>
        <v/>
      </c>
      <c r="D89" s="10"/>
      <c r="E89" s="10"/>
      <c r="F89" s="10"/>
      <c r="G89" s="10"/>
      <c r="H89" s="44" t="str">
        <f t="shared" si="1"/>
        <v/>
      </c>
      <c r="I89" s="44" t="str">
        <f>IF(H89="","",INDEX(Risk_Model!$B$30:$B$33,MATCH(H89,Risk_Model!$A$30:$A$33,1)))</f>
        <v/>
      </c>
      <c r="J89" s="10"/>
      <c r="K89" s="44" t="str">
        <f>IF(B89="","",IFERROR(IF(INDEX(Assessment!$K$5:$K$2000,MATCH(B89,Assessment!$A$5:$A$2000,0))="","",INDEX(Assessment!$K$5:$K$2000,MATCH(B89,Assessment!$A$5:$A$2000,0))),""))</f>
        <v/>
      </c>
      <c r="L89" s="47" t="str">
        <f>IF(OR(H89="",K89=""),"",ROUND(H89*(1-INDEX(Risk_Model!$C$38:$C$43,MATCH(K89,Risk_Model!$A$38:$A$43,0))),1))</f>
        <v/>
      </c>
      <c r="M89" s="44" t="str">
        <f>IF(L89="","",INDEX(Risk_Model!$B$30:$B$33,MATCH(L89,Risk_Model!$A$30:$A$33,1)))</f>
        <v/>
      </c>
      <c r="N89" s="10"/>
      <c r="O89" s="14"/>
      <c r="P89" s="10"/>
      <c r="Q89" s="10"/>
    </row>
    <row r="90" spans="1:17" x14ac:dyDescent="0.35">
      <c r="A90" s="10"/>
      <c r="B90" s="10"/>
      <c r="C90" s="43" t="str">
        <f>IF(B90="","",IFERROR(INDEX(Assessment!$E$5:$E$2000,MATCH(B90,Assessment!$A$5:$A$2000,0)),"Not found"))</f>
        <v/>
      </c>
      <c r="D90" s="10"/>
      <c r="E90" s="10"/>
      <c r="F90" s="10"/>
      <c r="G90" s="10"/>
      <c r="H90" s="44" t="str">
        <f t="shared" si="1"/>
        <v/>
      </c>
      <c r="I90" s="44" t="str">
        <f>IF(H90="","",INDEX(Risk_Model!$B$30:$B$33,MATCH(H90,Risk_Model!$A$30:$A$33,1)))</f>
        <v/>
      </c>
      <c r="J90" s="10"/>
      <c r="K90" s="44" t="str">
        <f>IF(B90="","",IFERROR(IF(INDEX(Assessment!$K$5:$K$2000,MATCH(B90,Assessment!$A$5:$A$2000,0))="","",INDEX(Assessment!$K$5:$K$2000,MATCH(B90,Assessment!$A$5:$A$2000,0))),""))</f>
        <v/>
      </c>
      <c r="L90" s="47" t="str">
        <f>IF(OR(H90="",K90=""),"",ROUND(H90*(1-INDEX(Risk_Model!$C$38:$C$43,MATCH(K90,Risk_Model!$A$38:$A$43,0))),1))</f>
        <v/>
      </c>
      <c r="M90" s="44" t="str">
        <f>IF(L90="","",INDEX(Risk_Model!$B$30:$B$33,MATCH(L90,Risk_Model!$A$30:$A$33,1)))</f>
        <v/>
      </c>
      <c r="N90" s="10"/>
      <c r="O90" s="14"/>
      <c r="P90" s="10"/>
      <c r="Q90" s="10"/>
    </row>
    <row r="91" spans="1:17" x14ac:dyDescent="0.35">
      <c r="A91" s="10"/>
      <c r="B91" s="10"/>
      <c r="C91" s="43" t="str">
        <f>IF(B91="","",IFERROR(INDEX(Assessment!$E$5:$E$2000,MATCH(B91,Assessment!$A$5:$A$2000,0)),"Not found"))</f>
        <v/>
      </c>
      <c r="D91" s="10"/>
      <c r="E91" s="10"/>
      <c r="F91" s="10"/>
      <c r="G91" s="10"/>
      <c r="H91" s="44" t="str">
        <f t="shared" si="1"/>
        <v/>
      </c>
      <c r="I91" s="44" t="str">
        <f>IF(H91="","",INDEX(Risk_Model!$B$30:$B$33,MATCH(H91,Risk_Model!$A$30:$A$33,1)))</f>
        <v/>
      </c>
      <c r="J91" s="10"/>
      <c r="K91" s="44" t="str">
        <f>IF(B91="","",IFERROR(IF(INDEX(Assessment!$K$5:$K$2000,MATCH(B91,Assessment!$A$5:$A$2000,0))="","",INDEX(Assessment!$K$5:$K$2000,MATCH(B91,Assessment!$A$5:$A$2000,0))),""))</f>
        <v/>
      </c>
      <c r="L91" s="47" t="str">
        <f>IF(OR(H91="",K91=""),"",ROUND(H91*(1-INDEX(Risk_Model!$C$38:$C$43,MATCH(K91,Risk_Model!$A$38:$A$43,0))),1))</f>
        <v/>
      </c>
      <c r="M91" s="44" t="str">
        <f>IF(L91="","",INDEX(Risk_Model!$B$30:$B$33,MATCH(L91,Risk_Model!$A$30:$A$33,1)))</f>
        <v/>
      </c>
      <c r="N91" s="10"/>
      <c r="O91" s="14"/>
      <c r="P91" s="10"/>
      <c r="Q91" s="10"/>
    </row>
    <row r="92" spans="1:17" x14ac:dyDescent="0.35">
      <c r="A92" s="10"/>
      <c r="B92" s="10"/>
      <c r="C92" s="43" t="str">
        <f>IF(B92="","",IFERROR(INDEX(Assessment!$E$5:$E$2000,MATCH(B92,Assessment!$A$5:$A$2000,0)),"Not found"))</f>
        <v/>
      </c>
      <c r="D92" s="10"/>
      <c r="E92" s="10"/>
      <c r="F92" s="10"/>
      <c r="G92" s="10"/>
      <c r="H92" s="44" t="str">
        <f t="shared" si="1"/>
        <v/>
      </c>
      <c r="I92" s="44" t="str">
        <f>IF(H92="","",INDEX(Risk_Model!$B$30:$B$33,MATCH(H92,Risk_Model!$A$30:$A$33,1)))</f>
        <v/>
      </c>
      <c r="J92" s="10"/>
      <c r="K92" s="44" t="str">
        <f>IF(B92="","",IFERROR(IF(INDEX(Assessment!$K$5:$K$2000,MATCH(B92,Assessment!$A$5:$A$2000,0))="","",INDEX(Assessment!$K$5:$K$2000,MATCH(B92,Assessment!$A$5:$A$2000,0))),""))</f>
        <v/>
      </c>
      <c r="L92" s="47" t="str">
        <f>IF(OR(H92="",K92=""),"",ROUND(H92*(1-INDEX(Risk_Model!$C$38:$C$43,MATCH(K92,Risk_Model!$A$38:$A$43,0))),1))</f>
        <v/>
      </c>
      <c r="M92" s="44" t="str">
        <f>IF(L92="","",INDEX(Risk_Model!$B$30:$B$33,MATCH(L92,Risk_Model!$A$30:$A$33,1)))</f>
        <v/>
      </c>
      <c r="N92" s="10"/>
      <c r="O92" s="14"/>
      <c r="P92" s="10"/>
      <c r="Q92" s="10"/>
    </row>
    <row r="93" spans="1:17" x14ac:dyDescent="0.35">
      <c r="A93" s="10"/>
      <c r="B93" s="10"/>
      <c r="C93" s="43" t="str">
        <f>IF(B93="","",IFERROR(INDEX(Assessment!$E$5:$E$2000,MATCH(B93,Assessment!$A$5:$A$2000,0)),"Not found"))</f>
        <v/>
      </c>
      <c r="D93" s="10"/>
      <c r="E93" s="10"/>
      <c r="F93" s="10"/>
      <c r="G93" s="10"/>
      <c r="H93" s="44" t="str">
        <f t="shared" si="1"/>
        <v/>
      </c>
      <c r="I93" s="44" t="str">
        <f>IF(H93="","",INDEX(Risk_Model!$B$30:$B$33,MATCH(H93,Risk_Model!$A$30:$A$33,1)))</f>
        <v/>
      </c>
      <c r="J93" s="10"/>
      <c r="K93" s="44" t="str">
        <f>IF(B93="","",IFERROR(IF(INDEX(Assessment!$K$5:$K$2000,MATCH(B93,Assessment!$A$5:$A$2000,0))="","",INDEX(Assessment!$K$5:$K$2000,MATCH(B93,Assessment!$A$5:$A$2000,0))),""))</f>
        <v/>
      </c>
      <c r="L93" s="47" t="str">
        <f>IF(OR(H93="",K93=""),"",ROUND(H93*(1-INDEX(Risk_Model!$C$38:$C$43,MATCH(K93,Risk_Model!$A$38:$A$43,0))),1))</f>
        <v/>
      </c>
      <c r="M93" s="44" t="str">
        <f>IF(L93="","",INDEX(Risk_Model!$B$30:$B$33,MATCH(L93,Risk_Model!$A$30:$A$33,1)))</f>
        <v/>
      </c>
      <c r="N93" s="10"/>
      <c r="O93" s="14"/>
      <c r="P93" s="10"/>
      <c r="Q93" s="10"/>
    </row>
    <row r="94" spans="1:17" x14ac:dyDescent="0.35">
      <c r="A94" s="10"/>
      <c r="B94" s="10"/>
      <c r="C94" s="43" t="str">
        <f>IF(B94="","",IFERROR(INDEX(Assessment!$E$5:$E$2000,MATCH(B94,Assessment!$A$5:$A$2000,0)),"Not found"))</f>
        <v/>
      </c>
      <c r="D94" s="10"/>
      <c r="E94" s="10"/>
      <c r="F94" s="10"/>
      <c r="G94" s="10"/>
      <c r="H94" s="44" t="str">
        <f t="shared" si="1"/>
        <v/>
      </c>
      <c r="I94" s="44" t="str">
        <f>IF(H94="","",INDEX(Risk_Model!$B$30:$B$33,MATCH(H94,Risk_Model!$A$30:$A$33,1)))</f>
        <v/>
      </c>
      <c r="J94" s="10"/>
      <c r="K94" s="44" t="str">
        <f>IF(B94="","",IFERROR(IF(INDEX(Assessment!$K$5:$K$2000,MATCH(B94,Assessment!$A$5:$A$2000,0))="","",INDEX(Assessment!$K$5:$K$2000,MATCH(B94,Assessment!$A$5:$A$2000,0))),""))</f>
        <v/>
      </c>
      <c r="L94" s="47" t="str">
        <f>IF(OR(H94="",K94=""),"",ROUND(H94*(1-INDEX(Risk_Model!$C$38:$C$43,MATCH(K94,Risk_Model!$A$38:$A$43,0))),1))</f>
        <v/>
      </c>
      <c r="M94" s="44" t="str">
        <f>IF(L94="","",INDEX(Risk_Model!$B$30:$B$33,MATCH(L94,Risk_Model!$A$30:$A$33,1)))</f>
        <v/>
      </c>
      <c r="N94" s="10"/>
      <c r="O94" s="14"/>
      <c r="P94" s="10"/>
      <c r="Q94" s="10"/>
    </row>
    <row r="95" spans="1:17" x14ac:dyDescent="0.35">
      <c r="A95" s="10"/>
      <c r="B95" s="10"/>
      <c r="C95" s="43" t="str">
        <f>IF(B95="","",IFERROR(INDEX(Assessment!$E$5:$E$2000,MATCH(B95,Assessment!$A$5:$A$2000,0)),"Not found"))</f>
        <v/>
      </c>
      <c r="D95" s="10"/>
      <c r="E95" s="10"/>
      <c r="F95" s="10"/>
      <c r="G95" s="10"/>
      <c r="H95" s="44" t="str">
        <f t="shared" si="1"/>
        <v/>
      </c>
      <c r="I95" s="44" t="str">
        <f>IF(H95="","",INDEX(Risk_Model!$B$30:$B$33,MATCH(H95,Risk_Model!$A$30:$A$33,1)))</f>
        <v/>
      </c>
      <c r="J95" s="10"/>
      <c r="K95" s="44" t="str">
        <f>IF(B95="","",IFERROR(IF(INDEX(Assessment!$K$5:$K$2000,MATCH(B95,Assessment!$A$5:$A$2000,0))="","",INDEX(Assessment!$K$5:$K$2000,MATCH(B95,Assessment!$A$5:$A$2000,0))),""))</f>
        <v/>
      </c>
      <c r="L95" s="47" t="str">
        <f>IF(OR(H95="",K95=""),"",ROUND(H95*(1-INDEX(Risk_Model!$C$38:$C$43,MATCH(K95,Risk_Model!$A$38:$A$43,0))),1))</f>
        <v/>
      </c>
      <c r="M95" s="44" t="str">
        <f>IF(L95="","",INDEX(Risk_Model!$B$30:$B$33,MATCH(L95,Risk_Model!$A$30:$A$33,1)))</f>
        <v/>
      </c>
      <c r="N95" s="10"/>
      <c r="O95" s="14"/>
      <c r="P95" s="10"/>
      <c r="Q95" s="10"/>
    </row>
    <row r="96" spans="1:17" x14ac:dyDescent="0.35">
      <c r="A96" s="10"/>
      <c r="B96" s="10"/>
      <c r="C96" s="43" t="str">
        <f>IF(B96="","",IFERROR(INDEX(Assessment!$E$5:$E$2000,MATCH(B96,Assessment!$A$5:$A$2000,0)),"Not found"))</f>
        <v/>
      </c>
      <c r="D96" s="10"/>
      <c r="E96" s="10"/>
      <c r="F96" s="10"/>
      <c r="G96" s="10"/>
      <c r="H96" s="44" t="str">
        <f t="shared" si="1"/>
        <v/>
      </c>
      <c r="I96" s="44" t="str">
        <f>IF(H96="","",INDEX(Risk_Model!$B$30:$B$33,MATCH(H96,Risk_Model!$A$30:$A$33,1)))</f>
        <v/>
      </c>
      <c r="J96" s="10"/>
      <c r="K96" s="44" t="str">
        <f>IF(B96="","",IFERROR(IF(INDEX(Assessment!$K$5:$K$2000,MATCH(B96,Assessment!$A$5:$A$2000,0))="","",INDEX(Assessment!$K$5:$K$2000,MATCH(B96,Assessment!$A$5:$A$2000,0))),""))</f>
        <v/>
      </c>
      <c r="L96" s="47" t="str">
        <f>IF(OR(H96="",K96=""),"",ROUND(H96*(1-INDEX(Risk_Model!$C$38:$C$43,MATCH(K96,Risk_Model!$A$38:$A$43,0))),1))</f>
        <v/>
      </c>
      <c r="M96" s="44" t="str">
        <f>IF(L96="","",INDEX(Risk_Model!$B$30:$B$33,MATCH(L96,Risk_Model!$A$30:$A$33,1)))</f>
        <v/>
      </c>
      <c r="N96" s="10"/>
      <c r="O96" s="14"/>
      <c r="P96" s="10"/>
      <c r="Q96" s="10"/>
    </row>
    <row r="97" spans="1:17" x14ac:dyDescent="0.35">
      <c r="A97" s="10"/>
      <c r="B97" s="10"/>
      <c r="C97" s="43" t="str">
        <f>IF(B97="","",IFERROR(INDEX(Assessment!$E$5:$E$2000,MATCH(B97,Assessment!$A$5:$A$2000,0)),"Not found"))</f>
        <v/>
      </c>
      <c r="D97" s="10"/>
      <c r="E97" s="10"/>
      <c r="F97" s="10"/>
      <c r="G97" s="10"/>
      <c r="H97" s="44" t="str">
        <f t="shared" si="1"/>
        <v/>
      </c>
      <c r="I97" s="44" t="str">
        <f>IF(H97="","",INDEX(Risk_Model!$B$30:$B$33,MATCH(H97,Risk_Model!$A$30:$A$33,1)))</f>
        <v/>
      </c>
      <c r="J97" s="10"/>
      <c r="K97" s="44" t="str">
        <f>IF(B97="","",IFERROR(IF(INDEX(Assessment!$K$5:$K$2000,MATCH(B97,Assessment!$A$5:$A$2000,0))="","",INDEX(Assessment!$K$5:$K$2000,MATCH(B97,Assessment!$A$5:$A$2000,0))),""))</f>
        <v/>
      </c>
      <c r="L97" s="47" t="str">
        <f>IF(OR(H97="",K97=""),"",ROUND(H97*(1-INDEX(Risk_Model!$C$38:$C$43,MATCH(K97,Risk_Model!$A$38:$A$43,0))),1))</f>
        <v/>
      </c>
      <c r="M97" s="44" t="str">
        <f>IF(L97="","",INDEX(Risk_Model!$B$30:$B$33,MATCH(L97,Risk_Model!$A$30:$A$33,1)))</f>
        <v/>
      </c>
      <c r="N97" s="10"/>
      <c r="O97" s="14"/>
      <c r="P97" s="10"/>
      <c r="Q97" s="10"/>
    </row>
    <row r="98" spans="1:17" x14ac:dyDescent="0.35">
      <c r="A98" s="10"/>
      <c r="B98" s="10"/>
      <c r="C98" s="43" t="str">
        <f>IF(B98="","",IFERROR(INDEX(Assessment!$E$5:$E$2000,MATCH(B98,Assessment!$A$5:$A$2000,0)),"Not found"))</f>
        <v/>
      </c>
      <c r="D98" s="10"/>
      <c r="E98" s="10"/>
      <c r="F98" s="10"/>
      <c r="G98" s="10"/>
      <c r="H98" s="44" t="str">
        <f t="shared" si="1"/>
        <v/>
      </c>
      <c r="I98" s="44" t="str">
        <f>IF(H98="","",INDEX(Risk_Model!$B$30:$B$33,MATCH(H98,Risk_Model!$A$30:$A$33,1)))</f>
        <v/>
      </c>
      <c r="J98" s="10"/>
      <c r="K98" s="44" t="str">
        <f>IF(B98="","",IFERROR(IF(INDEX(Assessment!$K$5:$K$2000,MATCH(B98,Assessment!$A$5:$A$2000,0))="","",INDEX(Assessment!$K$5:$K$2000,MATCH(B98,Assessment!$A$5:$A$2000,0))),""))</f>
        <v/>
      </c>
      <c r="L98" s="47" t="str">
        <f>IF(OR(H98="",K98=""),"",ROUND(H98*(1-INDEX(Risk_Model!$C$38:$C$43,MATCH(K98,Risk_Model!$A$38:$A$43,0))),1))</f>
        <v/>
      </c>
      <c r="M98" s="44" t="str">
        <f>IF(L98="","",INDEX(Risk_Model!$B$30:$B$33,MATCH(L98,Risk_Model!$A$30:$A$33,1)))</f>
        <v/>
      </c>
      <c r="N98" s="10"/>
      <c r="O98" s="14"/>
      <c r="P98" s="10"/>
      <c r="Q98" s="10"/>
    </row>
    <row r="99" spans="1:17" x14ac:dyDescent="0.35">
      <c r="A99" s="10"/>
      <c r="B99" s="10"/>
      <c r="C99" s="43" t="str">
        <f>IF(B99="","",IFERROR(INDEX(Assessment!$E$5:$E$2000,MATCH(B99,Assessment!$A$5:$A$2000,0)),"Not found"))</f>
        <v/>
      </c>
      <c r="D99" s="10"/>
      <c r="E99" s="10"/>
      <c r="F99" s="10"/>
      <c r="G99" s="10"/>
      <c r="H99" s="44" t="str">
        <f t="shared" si="1"/>
        <v/>
      </c>
      <c r="I99" s="44" t="str">
        <f>IF(H99="","",INDEX(Risk_Model!$B$30:$B$33,MATCH(H99,Risk_Model!$A$30:$A$33,1)))</f>
        <v/>
      </c>
      <c r="J99" s="10"/>
      <c r="K99" s="44" t="str">
        <f>IF(B99="","",IFERROR(IF(INDEX(Assessment!$K$5:$K$2000,MATCH(B99,Assessment!$A$5:$A$2000,0))="","",INDEX(Assessment!$K$5:$K$2000,MATCH(B99,Assessment!$A$5:$A$2000,0))),""))</f>
        <v/>
      </c>
      <c r="L99" s="47" t="str">
        <f>IF(OR(H99="",K99=""),"",ROUND(H99*(1-INDEX(Risk_Model!$C$38:$C$43,MATCH(K99,Risk_Model!$A$38:$A$43,0))),1))</f>
        <v/>
      </c>
      <c r="M99" s="44" t="str">
        <f>IF(L99="","",INDEX(Risk_Model!$B$30:$B$33,MATCH(L99,Risk_Model!$A$30:$A$33,1)))</f>
        <v/>
      </c>
      <c r="N99" s="10"/>
      <c r="O99" s="14"/>
      <c r="P99" s="10"/>
      <c r="Q99" s="10"/>
    </row>
    <row r="100" spans="1:17" x14ac:dyDescent="0.35">
      <c r="A100" s="10"/>
      <c r="B100" s="10"/>
      <c r="C100" s="43" t="str">
        <f>IF(B100="","",IFERROR(INDEX(Assessment!$E$5:$E$2000,MATCH(B100,Assessment!$A$5:$A$2000,0)),"Not found"))</f>
        <v/>
      </c>
      <c r="D100" s="10"/>
      <c r="E100" s="10"/>
      <c r="F100" s="10"/>
      <c r="G100" s="10"/>
      <c r="H100" s="44" t="str">
        <f t="shared" si="1"/>
        <v/>
      </c>
      <c r="I100" s="44" t="str">
        <f>IF(H100="","",INDEX(Risk_Model!$B$30:$B$33,MATCH(H100,Risk_Model!$A$30:$A$33,1)))</f>
        <v/>
      </c>
      <c r="J100" s="10"/>
      <c r="K100" s="44" t="str">
        <f>IF(B100="","",IFERROR(IF(INDEX(Assessment!$K$5:$K$2000,MATCH(B100,Assessment!$A$5:$A$2000,0))="","",INDEX(Assessment!$K$5:$K$2000,MATCH(B100,Assessment!$A$5:$A$2000,0))),""))</f>
        <v/>
      </c>
      <c r="L100" s="47" t="str">
        <f>IF(OR(H100="",K100=""),"",ROUND(H100*(1-INDEX(Risk_Model!$C$38:$C$43,MATCH(K100,Risk_Model!$A$38:$A$43,0))),1))</f>
        <v/>
      </c>
      <c r="M100" s="44" t="str">
        <f>IF(L100="","",INDEX(Risk_Model!$B$30:$B$33,MATCH(L100,Risk_Model!$A$30:$A$33,1)))</f>
        <v/>
      </c>
      <c r="N100" s="10"/>
      <c r="O100" s="14"/>
      <c r="P100" s="10"/>
      <c r="Q100" s="10"/>
    </row>
    <row r="101" spans="1:17" x14ac:dyDescent="0.35">
      <c r="A101" s="10"/>
      <c r="B101" s="10"/>
      <c r="C101" s="43" t="str">
        <f>IF(B101="","",IFERROR(INDEX(Assessment!$E$5:$E$2000,MATCH(B101,Assessment!$A$5:$A$2000,0)),"Not found"))</f>
        <v/>
      </c>
      <c r="D101" s="10"/>
      <c r="E101" s="10"/>
      <c r="F101" s="10"/>
      <c r="G101" s="10"/>
      <c r="H101" s="44" t="str">
        <f t="shared" si="1"/>
        <v/>
      </c>
      <c r="I101" s="44" t="str">
        <f>IF(H101="","",INDEX(Risk_Model!$B$30:$B$33,MATCH(H101,Risk_Model!$A$30:$A$33,1)))</f>
        <v/>
      </c>
      <c r="J101" s="10"/>
      <c r="K101" s="44" t="str">
        <f>IF(B101="","",IFERROR(IF(INDEX(Assessment!$K$5:$K$2000,MATCH(B101,Assessment!$A$5:$A$2000,0))="","",INDEX(Assessment!$K$5:$K$2000,MATCH(B101,Assessment!$A$5:$A$2000,0))),""))</f>
        <v/>
      </c>
      <c r="L101" s="47" t="str">
        <f>IF(OR(H101="",K101=""),"",ROUND(H101*(1-INDEX(Risk_Model!$C$38:$C$43,MATCH(K101,Risk_Model!$A$38:$A$43,0))),1))</f>
        <v/>
      </c>
      <c r="M101" s="44" t="str">
        <f>IF(L101="","",INDEX(Risk_Model!$B$30:$B$33,MATCH(L101,Risk_Model!$A$30:$A$33,1)))</f>
        <v/>
      </c>
      <c r="N101" s="10"/>
      <c r="O101" s="14"/>
      <c r="P101" s="10"/>
      <c r="Q101" s="10"/>
    </row>
    <row r="102" spans="1:17" x14ac:dyDescent="0.35">
      <c r="A102" s="10"/>
      <c r="B102" s="10"/>
      <c r="C102" s="43" t="str">
        <f>IF(B102="","",IFERROR(INDEX(Assessment!$E$5:$E$2000,MATCH(B102,Assessment!$A$5:$A$2000,0)),"Not found"))</f>
        <v/>
      </c>
      <c r="D102" s="10"/>
      <c r="E102" s="10"/>
      <c r="F102" s="10"/>
      <c r="G102" s="10"/>
      <c r="H102" s="44" t="str">
        <f t="shared" si="1"/>
        <v/>
      </c>
      <c r="I102" s="44" t="str">
        <f>IF(H102="","",INDEX(Risk_Model!$B$30:$B$33,MATCH(H102,Risk_Model!$A$30:$A$33,1)))</f>
        <v/>
      </c>
      <c r="J102" s="10"/>
      <c r="K102" s="44" t="str">
        <f>IF(B102="","",IFERROR(IF(INDEX(Assessment!$K$5:$K$2000,MATCH(B102,Assessment!$A$5:$A$2000,0))="","",INDEX(Assessment!$K$5:$K$2000,MATCH(B102,Assessment!$A$5:$A$2000,0))),""))</f>
        <v/>
      </c>
      <c r="L102" s="47" t="str">
        <f>IF(OR(H102="",K102=""),"",ROUND(H102*(1-INDEX(Risk_Model!$C$38:$C$43,MATCH(K102,Risk_Model!$A$38:$A$43,0))),1))</f>
        <v/>
      </c>
      <c r="M102" s="44" t="str">
        <f>IF(L102="","",INDEX(Risk_Model!$B$30:$B$33,MATCH(L102,Risk_Model!$A$30:$A$33,1)))</f>
        <v/>
      </c>
      <c r="N102" s="10"/>
      <c r="O102" s="14"/>
      <c r="P102" s="10"/>
      <c r="Q102" s="10"/>
    </row>
    <row r="103" spans="1:17" x14ac:dyDescent="0.35">
      <c r="A103" s="10"/>
      <c r="B103" s="10"/>
      <c r="C103" s="43" t="str">
        <f>IF(B103="","",IFERROR(INDEX(Assessment!$E$5:$E$2000,MATCH(B103,Assessment!$A$5:$A$2000,0)),"Not found"))</f>
        <v/>
      </c>
      <c r="D103" s="10"/>
      <c r="E103" s="10"/>
      <c r="F103" s="10"/>
      <c r="G103" s="10"/>
      <c r="H103" s="44" t="str">
        <f t="shared" si="1"/>
        <v/>
      </c>
      <c r="I103" s="44" t="str">
        <f>IF(H103="","",INDEX(Risk_Model!$B$30:$B$33,MATCH(H103,Risk_Model!$A$30:$A$33,1)))</f>
        <v/>
      </c>
      <c r="J103" s="10"/>
      <c r="K103" s="44" t="str">
        <f>IF(B103="","",IFERROR(IF(INDEX(Assessment!$K$5:$K$2000,MATCH(B103,Assessment!$A$5:$A$2000,0))="","",INDEX(Assessment!$K$5:$K$2000,MATCH(B103,Assessment!$A$5:$A$2000,0))),""))</f>
        <v/>
      </c>
      <c r="L103" s="47" t="str">
        <f>IF(OR(H103="",K103=""),"",ROUND(H103*(1-INDEX(Risk_Model!$C$38:$C$43,MATCH(K103,Risk_Model!$A$38:$A$43,0))),1))</f>
        <v/>
      </c>
      <c r="M103" s="44" t="str">
        <f>IF(L103="","",INDEX(Risk_Model!$B$30:$B$33,MATCH(L103,Risk_Model!$A$30:$A$33,1)))</f>
        <v/>
      </c>
      <c r="N103" s="10"/>
      <c r="O103" s="14"/>
      <c r="P103" s="10"/>
      <c r="Q103" s="10"/>
    </row>
    <row r="104" spans="1:17" x14ac:dyDescent="0.35">
      <c r="A104" s="10"/>
      <c r="B104" s="10"/>
      <c r="C104" s="43" t="str">
        <f>IF(B104="","",IFERROR(INDEX(Assessment!$E$5:$E$2000,MATCH(B104,Assessment!$A$5:$A$2000,0)),"Not found"))</f>
        <v/>
      </c>
      <c r="D104" s="10"/>
      <c r="E104" s="10"/>
      <c r="F104" s="10"/>
      <c r="G104" s="10"/>
      <c r="H104" s="44" t="str">
        <f t="shared" si="1"/>
        <v/>
      </c>
      <c r="I104" s="44" t="str">
        <f>IF(H104="","",INDEX(Risk_Model!$B$30:$B$33,MATCH(H104,Risk_Model!$A$30:$A$33,1)))</f>
        <v/>
      </c>
      <c r="J104" s="10"/>
      <c r="K104" s="44" t="str">
        <f>IF(B104="","",IFERROR(IF(INDEX(Assessment!$K$5:$K$2000,MATCH(B104,Assessment!$A$5:$A$2000,0))="","",INDEX(Assessment!$K$5:$K$2000,MATCH(B104,Assessment!$A$5:$A$2000,0))),""))</f>
        <v/>
      </c>
      <c r="L104" s="47" t="str">
        <f>IF(OR(H104="",K104=""),"",ROUND(H104*(1-INDEX(Risk_Model!$C$38:$C$43,MATCH(K104,Risk_Model!$A$38:$A$43,0))),1))</f>
        <v/>
      </c>
      <c r="M104" s="44" t="str">
        <f>IF(L104="","",INDEX(Risk_Model!$B$30:$B$33,MATCH(L104,Risk_Model!$A$30:$A$33,1)))</f>
        <v/>
      </c>
      <c r="N104" s="10"/>
      <c r="O104" s="14"/>
      <c r="P104" s="10"/>
      <c r="Q104" s="10"/>
    </row>
    <row r="105" spans="1:17" x14ac:dyDescent="0.35">
      <c r="A105" s="10"/>
      <c r="B105" s="10"/>
      <c r="C105" s="43" t="str">
        <f>IF(B105="","",IFERROR(INDEX(Assessment!$E$5:$E$2000,MATCH(B105,Assessment!$A$5:$A$2000,0)),"Not found"))</f>
        <v/>
      </c>
      <c r="D105" s="10"/>
      <c r="E105" s="10"/>
      <c r="F105" s="10"/>
      <c r="G105" s="10"/>
      <c r="H105" s="44" t="str">
        <f t="shared" si="1"/>
        <v/>
      </c>
      <c r="I105" s="44" t="str">
        <f>IF(H105="","",INDEX(Risk_Model!$B$30:$B$33,MATCH(H105,Risk_Model!$A$30:$A$33,1)))</f>
        <v/>
      </c>
      <c r="J105" s="10"/>
      <c r="K105" s="44" t="str">
        <f>IF(B105="","",IFERROR(IF(INDEX(Assessment!$K$5:$K$2000,MATCH(B105,Assessment!$A$5:$A$2000,0))="","",INDEX(Assessment!$K$5:$K$2000,MATCH(B105,Assessment!$A$5:$A$2000,0))),""))</f>
        <v/>
      </c>
      <c r="L105" s="47" t="str">
        <f>IF(OR(H105="",K105=""),"",ROUND(H105*(1-INDEX(Risk_Model!$C$38:$C$43,MATCH(K105,Risk_Model!$A$38:$A$43,0))),1))</f>
        <v/>
      </c>
      <c r="M105" s="44" t="str">
        <f>IF(L105="","",INDEX(Risk_Model!$B$30:$B$33,MATCH(L105,Risk_Model!$A$30:$A$33,1)))</f>
        <v/>
      </c>
      <c r="N105" s="10"/>
      <c r="O105" s="14"/>
      <c r="P105" s="10"/>
      <c r="Q105" s="10"/>
    </row>
    <row r="106" spans="1:17" x14ac:dyDescent="0.35">
      <c r="A106" s="10"/>
      <c r="B106" s="10"/>
      <c r="C106" s="43" t="str">
        <f>IF(B106="","",IFERROR(INDEX(Assessment!$E$5:$E$2000,MATCH(B106,Assessment!$A$5:$A$2000,0)),"Not found"))</f>
        <v/>
      </c>
      <c r="D106" s="10"/>
      <c r="E106" s="10"/>
      <c r="F106" s="10"/>
      <c r="G106" s="10"/>
      <c r="H106" s="44" t="str">
        <f t="shared" si="1"/>
        <v/>
      </c>
      <c r="I106" s="44" t="str">
        <f>IF(H106="","",INDEX(Risk_Model!$B$30:$B$33,MATCH(H106,Risk_Model!$A$30:$A$33,1)))</f>
        <v/>
      </c>
      <c r="J106" s="10"/>
      <c r="K106" s="44" t="str">
        <f>IF(B106="","",IFERROR(IF(INDEX(Assessment!$K$5:$K$2000,MATCH(B106,Assessment!$A$5:$A$2000,0))="","",INDEX(Assessment!$K$5:$K$2000,MATCH(B106,Assessment!$A$5:$A$2000,0))),""))</f>
        <v/>
      </c>
      <c r="L106" s="47" t="str">
        <f>IF(OR(H106="",K106=""),"",ROUND(H106*(1-INDEX(Risk_Model!$C$38:$C$43,MATCH(K106,Risk_Model!$A$38:$A$43,0))),1))</f>
        <v/>
      </c>
      <c r="M106" s="44" t="str">
        <f>IF(L106="","",INDEX(Risk_Model!$B$30:$B$33,MATCH(L106,Risk_Model!$A$30:$A$33,1)))</f>
        <v/>
      </c>
      <c r="N106" s="10"/>
      <c r="O106" s="14"/>
      <c r="P106" s="10"/>
      <c r="Q106" s="10"/>
    </row>
    <row r="107" spans="1:17" x14ac:dyDescent="0.35">
      <c r="A107" s="10"/>
      <c r="B107" s="10"/>
      <c r="C107" s="43" t="str">
        <f>IF(B107="","",IFERROR(INDEX(Assessment!$E$5:$E$2000,MATCH(B107,Assessment!$A$5:$A$2000,0)),"Not found"))</f>
        <v/>
      </c>
      <c r="D107" s="10"/>
      <c r="E107" s="10"/>
      <c r="F107" s="10"/>
      <c r="G107" s="10"/>
      <c r="H107" s="44" t="str">
        <f t="shared" si="1"/>
        <v/>
      </c>
      <c r="I107" s="44" t="str">
        <f>IF(H107="","",INDEX(Risk_Model!$B$30:$B$33,MATCH(H107,Risk_Model!$A$30:$A$33,1)))</f>
        <v/>
      </c>
      <c r="J107" s="10"/>
      <c r="K107" s="44" t="str">
        <f>IF(B107="","",IFERROR(IF(INDEX(Assessment!$K$5:$K$2000,MATCH(B107,Assessment!$A$5:$A$2000,0))="","",INDEX(Assessment!$K$5:$K$2000,MATCH(B107,Assessment!$A$5:$A$2000,0))),""))</f>
        <v/>
      </c>
      <c r="L107" s="47" t="str">
        <f>IF(OR(H107="",K107=""),"",ROUND(H107*(1-INDEX(Risk_Model!$C$38:$C$43,MATCH(K107,Risk_Model!$A$38:$A$43,0))),1))</f>
        <v/>
      </c>
      <c r="M107" s="44" t="str">
        <f>IF(L107="","",INDEX(Risk_Model!$B$30:$B$33,MATCH(L107,Risk_Model!$A$30:$A$33,1)))</f>
        <v/>
      </c>
      <c r="N107" s="10"/>
      <c r="O107" s="14"/>
      <c r="P107" s="10"/>
      <c r="Q107" s="10"/>
    </row>
    <row r="108" spans="1:17" x14ac:dyDescent="0.35">
      <c r="A108" s="10"/>
      <c r="B108" s="10"/>
      <c r="C108" s="43" t="str">
        <f>IF(B108="","",IFERROR(INDEX(Assessment!$E$5:$E$2000,MATCH(B108,Assessment!$A$5:$A$2000,0)),"Not found"))</f>
        <v/>
      </c>
      <c r="D108" s="10"/>
      <c r="E108" s="10"/>
      <c r="F108" s="10"/>
      <c r="G108" s="10"/>
      <c r="H108" s="44" t="str">
        <f t="shared" si="1"/>
        <v/>
      </c>
      <c r="I108" s="44" t="str">
        <f>IF(H108="","",INDEX(Risk_Model!$B$30:$B$33,MATCH(H108,Risk_Model!$A$30:$A$33,1)))</f>
        <v/>
      </c>
      <c r="J108" s="10"/>
      <c r="K108" s="44" t="str">
        <f>IF(B108="","",IFERROR(IF(INDEX(Assessment!$K$5:$K$2000,MATCH(B108,Assessment!$A$5:$A$2000,0))="","",INDEX(Assessment!$K$5:$K$2000,MATCH(B108,Assessment!$A$5:$A$2000,0))),""))</f>
        <v/>
      </c>
      <c r="L108" s="47" t="str">
        <f>IF(OR(H108="",K108=""),"",ROUND(H108*(1-INDEX(Risk_Model!$C$38:$C$43,MATCH(K108,Risk_Model!$A$38:$A$43,0))),1))</f>
        <v/>
      </c>
      <c r="M108" s="44" t="str">
        <f>IF(L108="","",INDEX(Risk_Model!$B$30:$B$33,MATCH(L108,Risk_Model!$A$30:$A$33,1)))</f>
        <v/>
      </c>
      <c r="N108" s="10"/>
      <c r="O108" s="14"/>
      <c r="P108" s="10"/>
      <c r="Q108" s="10"/>
    </row>
    <row r="109" spans="1:17" x14ac:dyDescent="0.35">
      <c r="A109" s="10"/>
      <c r="B109" s="10"/>
      <c r="C109" s="43" t="str">
        <f>IF(B109="","",IFERROR(INDEX(Assessment!$E$5:$E$2000,MATCH(B109,Assessment!$A$5:$A$2000,0)),"Not found"))</f>
        <v/>
      </c>
      <c r="D109" s="10"/>
      <c r="E109" s="10"/>
      <c r="F109" s="10"/>
      <c r="G109" s="10"/>
      <c r="H109" s="44" t="str">
        <f t="shared" si="1"/>
        <v/>
      </c>
      <c r="I109" s="44" t="str">
        <f>IF(H109="","",INDEX(Risk_Model!$B$30:$B$33,MATCH(H109,Risk_Model!$A$30:$A$33,1)))</f>
        <v/>
      </c>
      <c r="J109" s="10"/>
      <c r="K109" s="44" t="str">
        <f>IF(B109="","",IFERROR(IF(INDEX(Assessment!$K$5:$K$2000,MATCH(B109,Assessment!$A$5:$A$2000,0))="","",INDEX(Assessment!$K$5:$K$2000,MATCH(B109,Assessment!$A$5:$A$2000,0))),""))</f>
        <v/>
      </c>
      <c r="L109" s="47" t="str">
        <f>IF(OR(H109="",K109=""),"",ROUND(H109*(1-INDEX(Risk_Model!$C$38:$C$43,MATCH(K109,Risk_Model!$A$38:$A$43,0))),1))</f>
        <v/>
      </c>
      <c r="M109" s="44" t="str">
        <f>IF(L109="","",INDEX(Risk_Model!$B$30:$B$33,MATCH(L109,Risk_Model!$A$30:$A$33,1)))</f>
        <v/>
      </c>
      <c r="N109" s="10"/>
      <c r="O109" s="14"/>
      <c r="P109" s="10"/>
      <c r="Q109" s="10"/>
    </row>
    <row r="110" spans="1:17" x14ac:dyDescent="0.35">
      <c r="A110" s="10"/>
      <c r="B110" s="10"/>
      <c r="C110" s="43" t="str">
        <f>IF(B110="","",IFERROR(INDEX(Assessment!$E$5:$E$2000,MATCH(B110,Assessment!$A$5:$A$2000,0)),"Not found"))</f>
        <v/>
      </c>
      <c r="D110" s="10"/>
      <c r="E110" s="10"/>
      <c r="F110" s="10"/>
      <c r="G110" s="10"/>
      <c r="H110" s="44" t="str">
        <f t="shared" si="1"/>
        <v/>
      </c>
      <c r="I110" s="44" t="str">
        <f>IF(H110="","",INDEX(Risk_Model!$B$30:$B$33,MATCH(H110,Risk_Model!$A$30:$A$33,1)))</f>
        <v/>
      </c>
      <c r="J110" s="10"/>
      <c r="K110" s="44" t="str">
        <f>IF(B110="","",IFERROR(IF(INDEX(Assessment!$K$5:$K$2000,MATCH(B110,Assessment!$A$5:$A$2000,0))="","",INDEX(Assessment!$K$5:$K$2000,MATCH(B110,Assessment!$A$5:$A$2000,0))),""))</f>
        <v/>
      </c>
      <c r="L110" s="47" t="str">
        <f>IF(OR(H110="",K110=""),"",ROUND(H110*(1-INDEX(Risk_Model!$C$38:$C$43,MATCH(K110,Risk_Model!$A$38:$A$43,0))),1))</f>
        <v/>
      </c>
      <c r="M110" s="44" t="str">
        <f>IF(L110="","",INDEX(Risk_Model!$B$30:$B$33,MATCH(L110,Risk_Model!$A$30:$A$33,1)))</f>
        <v/>
      </c>
      <c r="N110" s="10"/>
      <c r="O110" s="14"/>
      <c r="P110" s="10"/>
      <c r="Q110" s="10"/>
    </row>
    <row r="111" spans="1:17" x14ac:dyDescent="0.35">
      <c r="A111" s="10"/>
      <c r="B111" s="10"/>
      <c r="C111" s="43" t="str">
        <f>IF(B111="","",IFERROR(INDEX(Assessment!$E$5:$E$2000,MATCH(B111,Assessment!$A$5:$A$2000,0)),"Not found"))</f>
        <v/>
      </c>
      <c r="D111" s="10"/>
      <c r="E111" s="10"/>
      <c r="F111" s="10"/>
      <c r="G111" s="10"/>
      <c r="H111" s="44" t="str">
        <f t="shared" si="1"/>
        <v/>
      </c>
      <c r="I111" s="44" t="str">
        <f>IF(H111="","",INDEX(Risk_Model!$B$30:$B$33,MATCH(H111,Risk_Model!$A$30:$A$33,1)))</f>
        <v/>
      </c>
      <c r="J111" s="10"/>
      <c r="K111" s="44" t="str">
        <f>IF(B111="","",IFERROR(IF(INDEX(Assessment!$K$5:$K$2000,MATCH(B111,Assessment!$A$5:$A$2000,0))="","",INDEX(Assessment!$K$5:$K$2000,MATCH(B111,Assessment!$A$5:$A$2000,0))),""))</f>
        <v/>
      </c>
      <c r="L111" s="47" t="str">
        <f>IF(OR(H111="",K111=""),"",ROUND(H111*(1-INDEX(Risk_Model!$C$38:$C$43,MATCH(K111,Risk_Model!$A$38:$A$43,0))),1))</f>
        <v/>
      </c>
      <c r="M111" s="44" t="str">
        <f>IF(L111="","",INDEX(Risk_Model!$B$30:$B$33,MATCH(L111,Risk_Model!$A$30:$A$33,1)))</f>
        <v/>
      </c>
      <c r="N111" s="10"/>
      <c r="O111" s="14"/>
      <c r="P111" s="10"/>
      <c r="Q111" s="10"/>
    </row>
    <row r="112" spans="1:17" x14ac:dyDescent="0.35">
      <c r="A112" s="10"/>
      <c r="B112" s="10"/>
      <c r="C112" s="43" t="str">
        <f>IF(B112="","",IFERROR(INDEX(Assessment!$E$5:$E$2000,MATCH(B112,Assessment!$A$5:$A$2000,0)),"Not found"))</f>
        <v/>
      </c>
      <c r="D112" s="10"/>
      <c r="E112" s="10"/>
      <c r="F112" s="10"/>
      <c r="G112" s="10"/>
      <c r="H112" s="44" t="str">
        <f t="shared" si="1"/>
        <v/>
      </c>
      <c r="I112" s="44" t="str">
        <f>IF(H112="","",INDEX(Risk_Model!$B$30:$B$33,MATCH(H112,Risk_Model!$A$30:$A$33,1)))</f>
        <v/>
      </c>
      <c r="J112" s="10"/>
      <c r="K112" s="44" t="str">
        <f>IF(B112="","",IFERROR(IF(INDEX(Assessment!$K$5:$K$2000,MATCH(B112,Assessment!$A$5:$A$2000,0))="","",INDEX(Assessment!$K$5:$K$2000,MATCH(B112,Assessment!$A$5:$A$2000,0))),""))</f>
        <v/>
      </c>
      <c r="L112" s="47" t="str">
        <f>IF(OR(H112="",K112=""),"",ROUND(H112*(1-INDEX(Risk_Model!$C$38:$C$43,MATCH(K112,Risk_Model!$A$38:$A$43,0))),1))</f>
        <v/>
      </c>
      <c r="M112" s="44" t="str">
        <f>IF(L112="","",INDEX(Risk_Model!$B$30:$B$33,MATCH(L112,Risk_Model!$A$30:$A$33,1)))</f>
        <v/>
      </c>
      <c r="N112" s="10"/>
      <c r="O112" s="14"/>
      <c r="P112" s="10"/>
      <c r="Q112" s="10"/>
    </row>
    <row r="113" spans="1:17" x14ac:dyDescent="0.35">
      <c r="A113" s="10"/>
      <c r="B113" s="10"/>
      <c r="C113" s="43" t="str">
        <f>IF(B113="","",IFERROR(INDEX(Assessment!$E$5:$E$2000,MATCH(B113,Assessment!$A$5:$A$2000,0)),"Not found"))</f>
        <v/>
      </c>
      <c r="D113" s="10"/>
      <c r="E113" s="10"/>
      <c r="F113" s="10"/>
      <c r="G113" s="10"/>
      <c r="H113" s="44" t="str">
        <f t="shared" si="1"/>
        <v/>
      </c>
      <c r="I113" s="44" t="str">
        <f>IF(H113="","",INDEX(Risk_Model!$B$30:$B$33,MATCH(H113,Risk_Model!$A$30:$A$33,1)))</f>
        <v/>
      </c>
      <c r="J113" s="10"/>
      <c r="K113" s="44" t="str">
        <f>IF(B113="","",IFERROR(IF(INDEX(Assessment!$K$5:$K$2000,MATCH(B113,Assessment!$A$5:$A$2000,0))="","",INDEX(Assessment!$K$5:$K$2000,MATCH(B113,Assessment!$A$5:$A$2000,0))),""))</f>
        <v/>
      </c>
      <c r="L113" s="47" t="str">
        <f>IF(OR(H113="",K113=""),"",ROUND(H113*(1-INDEX(Risk_Model!$C$38:$C$43,MATCH(K113,Risk_Model!$A$38:$A$43,0))),1))</f>
        <v/>
      </c>
      <c r="M113" s="44" t="str">
        <f>IF(L113="","",INDEX(Risk_Model!$B$30:$B$33,MATCH(L113,Risk_Model!$A$30:$A$33,1)))</f>
        <v/>
      </c>
      <c r="N113" s="10"/>
      <c r="O113" s="14"/>
      <c r="P113" s="10"/>
      <c r="Q113" s="10"/>
    </row>
    <row r="114" spans="1:17" x14ac:dyDescent="0.35">
      <c r="A114" s="10"/>
      <c r="B114" s="10"/>
      <c r="C114" s="43" t="str">
        <f>IF(B114="","",IFERROR(INDEX(Assessment!$E$5:$E$2000,MATCH(B114,Assessment!$A$5:$A$2000,0)),"Not found"))</f>
        <v/>
      </c>
      <c r="D114" s="10"/>
      <c r="E114" s="10"/>
      <c r="F114" s="10"/>
      <c r="G114" s="10"/>
      <c r="H114" s="44" t="str">
        <f t="shared" si="1"/>
        <v/>
      </c>
      <c r="I114" s="44" t="str">
        <f>IF(H114="","",INDEX(Risk_Model!$B$30:$B$33,MATCH(H114,Risk_Model!$A$30:$A$33,1)))</f>
        <v/>
      </c>
      <c r="J114" s="10"/>
      <c r="K114" s="44" t="str">
        <f>IF(B114="","",IFERROR(IF(INDEX(Assessment!$K$5:$K$2000,MATCH(B114,Assessment!$A$5:$A$2000,0))="","",INDEX(Assessment!$K$5:$K$2000,MATCH(B114,Assessment!$A$5:$A$2000,0))),""))</f>
        <v/>
      </c>
      <c r="L114" s="47" t="str">
        <f>IF(OR(H114="",K114=""),"",ROUND(H114*(1-INDEX(Risk_Model!$C$38:$C$43,MATCH(K114,Risk_Model!$A$38:$A$43,0))),1))</f>
        <v/>
      </c>
      <c r="M114" s="44" t="str">
        <f>IF(L114="","",INDEX(Risk_Model!$B$30:$B$33,MATCH(L114,Risk_Model!$A$30:$A$33,1)))</f>
        <v/>
      </c>
      <c r="N114" s="10"/>
      <c r="O114" s="14"/>
      <c r="P114" s="10"/>
      <c r="Q114" s="10"/>
    </row>
    <row r="115" spans="1:17" x14ac:dyDescent="0.35">
      <c r="A115" s="10"/>
      <c r="B115" s="10"/>
      <c r="C115" s="43" t="str">
        <f>IF(B115="","",IFERROR(INDEX(Assessment!$E$5:$E$2000,MATCH(B115,Assessment!$A$5:$A$2000,0)),"Not found"))</f>
        <v/>
      </c>
      <c r="D115" s="10"/>
      <c r="E115" s="10"/>
      <c r="F115" s="10"/>
      <c r="G115" s="10"/>
      <c r="H115" s="44" t="str">
        <f t="shared" si="1"/>
        <v/>
      </c>
      <c r="I115" s="44" t="str">
        <f>IF(H115="","",INDEX(Risk_Model!$B$30:$B$33,MATCH(H115,Risk_Model!$A$30:$A$33,1)))</f>
        <v/>
      </c>
      <c r="J115" s="10"/>
      <c r="K115" s="44" t="str">
        <f>IF(B115="","",IFERROR(IF(INDEX(Assessment!$K$5:$K$2000,MATCH(B115,Assessment!$A$5:$A$2000,0))="","",INDEX(Assessment!$K$5:$K$2000,MATCH(B115,Assessment!$A$5:$A$2000,0))),""))</f>
        <v/>
      </c>
      <c r="L115" s="47" t="str">
        <f>IF(OR(H115="",K115=""),"",ROUND(H115*(1-INDEX(Risk_Model!$C$38:$C$43,MATCH(K115,Risk_Model!$A$38:$A$43,0))),1))</f>
        <v/>
      </c>
      <c r="M115" s="44" t="str">
        <f>IF(L115="","",INDEX(Risk_Model!$B$30:$B$33,MATCH(L115,Risk_Model!$A$30:$A$33,1)))</f>
        <v/>
      </c>
      <c r="N115" s="10"/>
      <c r="O115" s="14"/>
      <c r="P115" s="10"/>
      <c r="Q115" s="10"/>
    </row>
    <row r="116" spans="1:17" x14ac:dyDescent="0.35">
      <c r="A116" s="10"/>
      <c r="B116" s="10"/>
      <c r="C116" s="43" t="str">
        <f>IF(B116="","",IFERROR(INDEX(Assessment!$E$5:$E$2000,MATCH(B116,Assessment!$A$5:$A$2000,0)),"Not found"))</f>
        <v/>
      </c>
      <c r="D116" s="10"/>
      <c r="E116" s="10"/>
      <c r="F116" s="10"/>
      <c r="G116" s="10"/>
      <c r="H116" s="44" t="str">
        <f t="shared" si="1"/>
        <v/>
      </c>
      <c r="I116" s="44" t="str">
        <f>IF(H116="","",INDEX(Risk_Model!$B$30:$B$33,MATCH(H116,Risk_Model!$A$30:$A$33,1)))</f>
        <v/>
      </c>
      <c r="J116" s="10"/>
      <c r="K116" s="44" t="str">
        <f>IF(B116="","",IFERROR(IF(INDEX(Assessment!$K$5:$K$2000,MATCH(B116,Assessment!$A$5:$A$2000,0))="","",INDEX(Assessment!$K$5:$K$2000,MATCH(B116,Assessment!$A$5:$A$2000,0))),""))</f>
        <v/>
      </c>
      <c r="L116" s="47" t="str">
        <f>IF(OR(H116="",K116=""),"",ROUND(H116*(1-INDEX(Risk_Model!$C$38:$C$43,MATCH(K116,Risk_Model!$A$38:$A$43,0))),1))</f>
        <v/>
      </c>
      <c r="M116" s="44" t="str">
        <f>IF(L116="","",INDEX(Risk_Model!$B$30:$B$33,MATCH(L116,Risk_Model!$A$30:$A$33,1)))</f>
        <v/>
      </c>
      <c r="N116" s="10"/>
      <c r="O116" s="14"/>
      <c r="P116" s="10"/>
      <c r="Q116" s="10"/>
    </row>
    <row r="117" spans="1:17" x14ac:dyDescent="0.35">
      <c r="A117" s="10"/>
      <c r="B117" s="10"/>
      <c r="C117" s="43" t="str">
        <f>IF(B117="","",IFERROR(INDEX(Assessment!$E$5:$E$2000,MATCH(B117,Assessment!$A$5:$A$2000,0)),"Not found"))</f>
        <v/>
      </c>
      <c r="D117" s="10"/>
      <c r="E117" s="10"/>
      <c r="F117" s="10"/>
      <c r="G117" s="10"/>
      <c r="H117" s="44" t="str">
        <f t="shared" si="1"/>
        <v/>
      </c>
      <c r="I117" s="44" t="str">
        <f>IF(H117="","",INDEX(Risk_Model!$B$30:$B$33,MATCH(H117,Risk_Model!$A$30:$A$33,1)))</f>
        <v/>
      </c>
      <c r="J117" s="10"/>
      <c r="K117" s="44" t="str">
        <f>IF(B117="","",IFERROR(IF(INDEX(Assessment!$K$5:$K$2000,MATCH(B117,Assessment!$A$5:$A$2000,0))="","",INDEX(Assessment!$K$5:$K$2000,MATCH(B117,Assessment!$A$5:$A$2000,0))),""))</f>
        <v/>
      </c>
      <c r="L117" s="47" t="str">
        <f>IF(OR(H117="",K117=""),"",ROUND(H117*(1-INDEX(Risk_Model!$C$38:$C$43,MATCH(K117,Risk_Model!$A$38:$A$43,0))),1))</f>
        <v/>
      </c>
      <c r="M117" s="44" t="str">
        <f>IF(L117="","",INDEX(Risk_Model!$B$30:$B$33,MATCH(L117,Risk_Model!$A$30:$A$33,1)))</f>
        <v/>
      </c>
      <c r="N117" s="10"/>
      <c r="O117" s="14"/>
      <c r="P117" s="10"/>
      <c r="Q117" s="10"/>
    </row>
    <row r="118" spans="1:17" x14ac:dyDescent="0.35">
      <c r="A118" s="10"/>
      <c r="B118" s="10"/>
      <c r="C118" s="43" t="str">
        <f>IF(B118="","",IFERROR(INDEX(Assessment!$E$5:$E$2000,MATCH(B118,Assessment!$A$5:$A$2000,0)),"Not found"))</f>
        <v/>
      </c>
      <c r="D118" s="10"/>
      <c r="E118" s="10"/>
      <c r="F118" s="10"/>
      <c r="G118" s="10"/>
      <c r="H118" s="44" t="str">
        <f t="shared" si="1"/>
        <v/>
      </c>
      <c r="I118" s="44" t="str">
        <f>IF(H118="","",INDEX(Risk_Model!$B$30:$B$33,MATCH(H118,Risk_Model!$A$30:$A$33,1)))</f>
        <v/>
      </c>
      <c r="J118" s="10"/>
      <c r="K118" s="44" t="str">
        <f>IF(B118="","",IFERROR(IF(INDEX(Assessment!$K$5:$K$2000,MATCH(B118,Assessment!$A$5:$A$2000,0))="","",INDEX(Assessment!$K$5:$K$2000,MATCH(B118,Assessment!$A$5:$A$2000,0))),""))</f>
        <v/>
      </c>
      <c r="L118" s="47" t="str">
        <f>IF(OR(H118="",K118=""),"",ROUND(H118*(1-INDEX(Risk_Model!$C$38:$C$43,MATCH(K118,Risk_Model!$A$38:$A$43,0))),1))</f>
        <v/>
      </c>
      <c r="M118" s="44" t="str">
        <f>IF(L118="","",INDEX(Risk_Model!$B$30:$B$33,MATCH(L118,Risk_Model!$A$30:$A$33,1)))</f>
        <v/>
      </c>
      <c r="N118" s="10"/>
      <c r="O118" s="14"/>
      <c r="P118" s="10"/>
      <c r="Q118" s="10"/>
    </row>
    <row r="119" spans="1:17" x14ac:dyDescent="0.35">
      <c r="A119" s="10"/>
      <c r="B119" s="10"/>
      <c r="C119" s="43" t="str">
        <f>IF(B119="","",IFERROR(INDEX(Assessment!$E$5:$E$2000,MATCH(B119,Assessment!$A$5:$A$2000,0)),"Not found"))</f>
        <v/>
      </c>
      <c r="D119" s="10"/>
      <c r="E119" s="10"/>
      <c r="F119" s="10"/>
      <c r="G119" s="10"/>
      <c r="H119" s="44" t="str">
        <f t="shared" si="1"/>
        <v/>
      </c>
      <c r="I119" s="44" t="str">
        <f>IF(H119="","",INDEX(Risk_Model!$B$30:$B$33,MATCH(H119,Risk_Model!$A$30:$A$33,1)))</f>
        <v/>
      </c>
      <c r="J119" s="10"/>
      <c r="K119" s="44" t="str">
        <f>IF(B119="","",IFERROR(IF(INDEX(Assessment!$K$5:$K$2000,MATCH(B119,Assessment!$A$5:$A$2000,0))="","",INDEX(Assessment!$K$5:$K$2000,MATCH(B119,Assessment!$A$5:$A$2000,0))),""))</f>
        <v/>
      </c>
      <c r="L119" s="47" t="str">
        <f>IF(OR(H119="",K119=""),"",ROUND(H119*(1-INDEX(Risk_Model!$C$38:$C$43,MATCH(K119,Risk_Model!$A$38:$A$43,0))),1))</f>
        <v/>
      </c>
      <c r="M119" s="44" t="str">
        <f>IF(L119="","",INDEX(Risk_Model!$B$30:$B$33,MATCH(L119,Risk_Model!$A$30:$A$33,1)))</f>
        <v/>
      </c>
      <c r="N119" s="10"/>
      <c r="O119" s="14"/>
      <c r="P119" s="10"/>
      <c r="Q119" s="10"/>
    </row>
    <row r="120" spans="1:17" x14ac:dyDescent="0.35">
      <c r="A120" s="10"/>
      <c r="B120" s="10"/>
      <c r="C120" s="43" t="str">
        <f>IF(B120="","",IFERROR(INDEX(Assessment!$E$5:$E$2000,MATCH(B120,Assessment!$A$5:$A$2000,0)),"Not found"))</f>
        <v/>
      </c>
      <c r="D120" s="10"/>
      <c r="E120" s="10"/>
      <c r="F120" s="10"/>
      <c r="G120" s="10"/>
      <c r="H120" s="44" t="str">
        <f t="shared" si="1"/>
        <v/>
      </c>
      <c r="I120" s="44" t="str">
        <f>IF(H120="","",INDEX(Risk_Model!$B$30:$B$33,MATCH(H120,Risk_Model!$A$30:$A$33,1)))</f>
        <v/>
      </c>
      <c r="J120" s="10"/>
      <c r="K120" s="44" t="str">
        <f>IF(B120="","",IFERROR(IF(INDEX(Assessment!$K$5:$K$2000,MATCH(B120,Assessment!$A$5:$A$2000,0))="","",INDEX(Assessment!$K$5:$K$2000,MATCH(B120,Assessment!$A$5:$A$2000,0))),""))</f>
        <v/>
      </c>
      <c r="L120" s="47" t="str">
        <f>IF(OR(H120="",K120=""),"",ROUND(H120*(1-INDEX(Risk_Model!$C$38:$C$43,MATCH(K120,Risk_Model!$A$38:$A$43,0))),1))</f>
        <v/>
      </c>
      <c r="M120" s="44" t="str">
        <f>IF(L120="","",INDEX(Risk_Model!$B$30:$B$33,MATCH(L120,Risk_Model!$A$30:$A$33,1)))</f>
        <v/>
      </c>
      <c r="N120" s="10"/>
      <c r="O120" s="14"/>
      <c r="P120" s="10"/>
      <c r="Q120" s="10"/>
    </row>
    <row r="121" spans="1:17" x14ac:dyDescent="0.35">
      <c r="A121" s="10"/>
      <c r="B121" s="10"/>
      <c r="C121" s="43" t="str">
        <f>IF(B121="","",IFERROR(INDEX(Assessment!$E$5:$E$2000,MATCH(B121,Assessment!$A$5:$A$2000,0)),"Not found"))</f>
        <v/>
      </c>
      <c r="D121" s="10"/>
      <c r="E121" s="10"/>
      <c r="F121" s="10"/>
      <c r="G121" s="10"/>
      <c r="H121" s="44" t="str">
        <f t="shared" si="1"/>
        <v/>
      </c>
      <c r="I121" s="44" t="str">
        <f>IF(H121="","",INDEX(Risk_Model!$B$30:$B$33,MATCH(H121,Risk_Model!$A$30:$A$33,1)))</f>
        <v/>
      </c>
      <c r="J121" s="10"/>
      <c r="K121" s="44" t="str">
        <f>IF(B121="","",IFERROR(IF(INDEX(Assessment!$K$5:$K$2000,MATCH(B121,Assessment!$A$5:$A$2000,0))="","",INDEX(Assessment!$K$5:$K$2000,MATCH(B121,Assessment!$A$5:$A$2000,0))),""))</f>
        <v/>
      </c>
      <c r="L121" s="47" t="str">
        <f>IF(OR(H121="",K121=""),"",ROUND(H121*(1-INDEX(Risk_Model!$C$38:$C$43,MATCH(K121,Risk_Model!$A$38:$A$43,0))),1))</f>
        <v/>
      </c>
      <c r="M121" s="44" t="str">
        <f>IF(L121="","",INDEX(Risk_Model!$B$30:$B$33,MATCH(L121,Risk_Model!$A$30:$A$33,1)))</f>
        <v/>
      </c>
      <c r="N121" s="10"/>
      <c r="O121" s="14"/>
      <c r="P121" s="10"/>
      <c r="Q121" s="10"/>
    </row>
    <row r="122" spans="1:17" x14ac:dyDescent="0.35">
      <c r="A122" s="10"/>
      <c r="B122" s="10"/>
      <c r="C122" s="43" t="str">
        <f>IF(B122="","",IFERROR(INDEX(Assessment!$E$5:$E$2000,MATCH(B122,Assessment!$A$5:$A$2000,0)),"Not found"))</f>
        <v/>
      </c>
      <c r="D122" s="10"/>
      <c r="E122" s="10"/>
      <c r="F122" s="10"/>
      <c r="G122" s="10"/>
      <c r="H122" s="44" t="str">
        <f t="shared" si="1"/>
        <v/>
      </c>
      <c r="I122" s="44" t="str">
        <f>IF(H122="","",INDEX(Risk_Model!$B$30:$B$33,MATCH(H122,Risk_Model!$A$30:$A$33,1)))</f>
        <v/>
      </c>
      <c r="J122" s="10"/>
      <c r="K122" s="44" t="str">
        <f>IF(B122="","",IFERROR(IF(INDEX(Assessment!$K$5:$K$2000,MATCH(B122,Assessment!$A$5:$A$2000,0))="","",INDEX(Assessment!$K$5:$K$2000,MATCH(B122,Assessment!$A$5:$A$2000,0))),""))</f>
        <v/>
      </c>
      <c r="L122" s="47" t="str">
        <f>IF(OR(H122="",K122=""),"",ROUND(H122*(1-INDEX(Risk_Model!$C$38:$C$43,MATCH(K122,Risk_Model!$A$38:$A$43,0))),1))</f>
        <v/>
      </c>
      <c r="M122" s="44" t="str">
        <f>IF(L122="","",INDEX(Risk_Model!$B$30:$B$33,MATCH(L122,Risk_Model!$A$30:$A$33,1)))</f>
        <v/>
      </c>
      <c r="N122" s="10"/>
      <c r="O122" s="14"/>
      <c r="P122" s="10"/>
      <c r="Q122" s="10"/>
    </row>
    <row r="123" spans="1:17" x14ac:dyDescent="0.35">
      <c r="A123" s="10"/>
      <c r="B123" s="10"/>
      <c r="C123" s="43" t="str">
        <f>IF(B123="","",IFERROR(INDEX(Assessment!$E$5:$E$2000,MATCH(B123,Assessment!$A$5:$A$2000,0)),"Not found"))</f>
        <v/>
      </c>
      <c r="D123" s="10"/>
      <c r="E123" s="10"/>
      <c r="F123" s="10"/>
      <c r="G123" s="10"/>
      <c r="H123" s="44" t="str">
        <f t="shared" si="1"/>
        <v/>
      </c>
      <c r="I123" s="44" t="str">
        <f>IF(H123="","",INDEX(Risk_Model!$B$30:$B$33,MATCH(H123,Risk_Model!$A$30:$A$33,1)))</f>
        <v/>
      </c>
      <c r="J123" s="10"/>
      <c r="K123" s="44" t="str">
        <f>IF(B123="","",IFERROR(IF(INDEX(Assessment!$K$5:$K$2000,MATCH(B123,Assessment!$A$5:$A$2000,0))="","",INDEX(Assessment!$K$5:$K$2000,MATCH(B123,Assessment!$A$5:$A$2000,0))),""))</f>
        <v/>
      </c>
      <c r="L123" s="47" t="str">
        <f>IF(OR(H123="",K123=""),"",ROUND(H123*(1-INDEX(Risk_Model!$C$38:$C$43,MATCH(K123,Risk_Model!$A$38:$A$43,0))),1))</f>
        <v/>
      </c>
      <c r="M123" s="44" t="str">
        <f>IF(L123="","",INDEX(Risk_Model!$B$30:$B$33,MATCH(L123,Risk_Model!$A$30:$A$33,1)))</f>
        <v/>
      </c>
      <c r="N123" s="10"/>
      <c r="O123" s="14"/>
      <c r="P123" s="10"/>
      <c r="Q123" s="10"/>
    </row>
    <row r="124" spans="1:17" x14ac:dyDescent="0.35">
      <c r="A124" s="10"/>
      <c r="B124" s="10"/>
      <c r="C124" s="43" t="str">
        <f>IF(B124="","",IFERROR(INDEX(Assessment!$E$5:$E$2000,MATCH(B124,Assessment!$A$5:$A$2000,0)),"Not found"))</f>
        <v/>
      </c>
      <c r="D124" s="10"/>
      <c r="E124" s="10"/>
      <c r="F124" s="10"/>
      <c r="G124" s="10"/>
      <c r="H124" s="44" t="str">
        <f t="shared" si="1"/>
        <v/>
      </c>
      <c r="I124" s="44" t="str">
        <f>IF(H124="","",INDEX(Risk_Model!$B$30:$B$33,MATCH(H124,Risk_Model!$A$30:$A$33,1)))</f>
        <v/>
      </c>
      <c r="J124" s="10"/>
      <c r="K124" s="44" t="str">
        <f>IF(B124="","",IFERROR(IF(INDEX(Assessment!$K$5:$K$2000,MATCH(B124,Assessment!$A$5:$A$2000,0))="","",INDEX(Assessment!$K$5:$K$2000,MATCH(B124,Assessment!$A$5:$A$2000,0))),""))</f>
        <v/>
      </c>
      <c r="L124" s="47" t="str">
        <f>IF(OR(H124="",K124=""),"",ROUND(H124*(1-INDEX(Risk_Model!$C$38:$C$43,MATCH(K124,Risk_Model!$A$38:$A$43,0))),1))</f>
        <v/>
      </c>
      <c r="M124" s="44" t="str">
        <f>IF(L124="","",INDEX(Risk_Model!$B$30:$B$33,MATCH(L124,Risk_Model!$A$30:$A$33,1)))</f>
        <v/>
      </c>
      <c r="N124" s="10"/>
      <c r="O124" s="14"/>
      <c r="P124" s="10"/>
      <c r="Q124" s="10"/>
    </row>
    <row r="125" spans="1:17" x14ac:dyDescent="0.35">
      <c r="A125" s="10"/>
      <c r="B125" s="10"/>
      <c r="C125" s="43" t="str">
        <f>IF(B125="","",IFERROR(INDEX(Assessment!$E$5:$E$2000,MATCH(B125,Assessment!$A$5:$A$2000,0)),"Not found"))</f>
        <v/>
      </c>
      <c r="D125" s="10"/>
      <c r="E125" s="10"/>
      <c r="F125" s="10"/>
      <c r="G125" s="10"/>
      <c r="H125" s="44" t="str">
        <f t="shared" si="1"/>
        <v/>
      </c>
      <c r="I125" s="44" t="str">
        <f>IF(H125="","",INDEX(Risk_Model!$B$30:$B$33,MATCH(H125,Risk_Model!$A$30:$A$33,1)))</f>
        <v/>
      </c>
      <c r="J125" s="10"/>
      <c r="K125" s="44" t="str">
        <f>IF(B125="","",IFERROR(IF(INDEX(Assessment!$K$5:$K$2000,MATCH(B125,Assessment!$A$5:$A$2000,0))="","",INDEX(Assessment!$K$5:$K$2000,MATCH(B125,Assessment!$A$5:$A$2000,0))),""))</f>
        <v/>
      </c>
      <c r="L125" s="47" t="str">
        <f>IF(OR(H125="",K125=""),"",ROUND(H125*(1-INDEX(Risk_Model!$C$38:$C$43,MATCH(K125,Risk_Model!$A$38:$A$43,0))),1))</f>
        <v/>
      </c>
      <c r="M125" s="44" t="str">
        <f>IF(L125="","",INDEX(Risk_Model!$B$30:$B$33,MATCH(L125,Risk_Model!$A$30:$A$33,1)))</f>
        <v/>
      </c>
      <c r="N125" s="10"/>
      <c r="O125" s="14"/>
      <c r="P125" s="10"/>
      <c r="Q125" s="10"/>
    </row>
    <row r="126" spans="1:17" x14ac:dyDescent="0.35">
      <c r="A126" s="10"/>
      <c r="B126" s="10"/>
      <c r="C126" s="43" t="str">
        <f>IF(B126="","",IFERROR(INDEX(Assessment!$E$5:$E$2000,MATCH(B126,Assessment!$A$5:$A$2000,0)),"Not found"))</f>
        <v/>
      </c>
      <c r="D126" s="10"/>
      <c r="E126" s="10"/>
      <c r="F126" s="10"/>
      <c r="G126" s="10"/>
      <c r="H126" s="44" t="str">
        <f t="shared" si="1"/>
        <v/>
      </c>
      <c r="I126" s="44" t="str">
        <f>IF(H126="","",INDEX(Risk_Model!$B$30:$B$33,MATCH(H126,Risk_Model!$A$30:$A$33,1)))</f>
        <v/>
      </c>
      <c r="J126" s="10"/>
      <c r="K126" s="44" t="str">
        <f>IF(B126="","",IFERROR(IF(INDEX(Assessment!$K$5:$K$2000,MATCH(B126,Assessment!$A$5:$A$2000,0))="","",INDEX(Assessment!$K$5:$K$2000,MATCH(B126,Assessment!$A$5:$A$2000,0))),""))</f>
        <v/>
      </c>
      <c r="L126" s="47" t="str">
        <f>IF(OR(H126="",K126=""),"",ROUND(H126*(1-INDEX(Risk_Model!$C$38:$C$43,MATCH(K126,Risk_Model!$A$38:$A$43,0))),1))</f>
        <v/>
      </c>
      <c r="M126" s="44" t="str">
        <f>IF(L126="","",INDEX(Risk_Model!$B$30:$B$33,MATCH(L126,Risk_Model!$A$30:$A$33,1)))</f>
        <v/>
      </c>
      <c r="N126" s="10"/>
      <c r="O126" s="14"/>
      <c r="P126" s="10"/>
      <c r="Q126" s="10"/>
    </row>
    <row r="127" spans="1:17" x14ac:dyDescent="0.35">
      <c r="A127" s="10"/>
      <c r="B127" s="10"/>
      <c r="C127" s="43" t="str">
        <f>IF(B127="","",IFERROR(INDEX(Assessment!$E$5:$E$2000,MATCH(B127,Assessment!$A$5:$A$2000,0)),"Not found"))</f>
        <v/>
      </c>
      <c r="D127" s="10"/>
      <c r="E127" s="10"/>
      <c r="F127" s="10"/>
      <c r="G127" s="10"/>
      <c r="H127" s="44" t="str">
        <f t="shared" si="1"/>
        <v/>
      </c>
      <c r="I127" s="44" t="str">
        <f>IF(H127="","",INDEX(Risk_Model!$B$30:$B$33,MATCH(H127,Risk_Model!$A$30:$A$33,1)))</f>
        <v/>
      </c>
      <c r="J127" s="10"/>
      <c r="K127" s="44" t="str">
        <f>IF(B127="","",IFERROR(IF(INDEX(Assessment!$K$5:$K$2000,MATCH(B127,Assessment!$A$5:$A$2000,0))="","",INDEX(Assessment!$K$5:$K$2000,MATCH(B127,Assessment!$A$5:$A$2000,0))),""))</f>
        <v/>
      </c>
      <c r="L127" s="47" t="str">
        <f>IF(OR(H127="",K127=""),"",ROUND(H127*(1-INDEX(Risk_Model!$C$38:$C$43,MATCH(K127,Risk_Model!$A$38:$A$43,0))),1))</f>
        <v/>
      </c>
      <c r="M127" s="44" t="str">
        <f>IF(L127="","",INDEX(Risk_Model!$B$30:$B$33,MATCH(L127,Risk_Model!$A$30:$A$33,1)))</f>
        <v/>
      </c>
      <c r="N127" s="10"/>
      <c r="O127" s="14"/>
      <c r="P127" s="10"/>
      <c r="Q127" s="10"/>
    </row>
    <row r="128" spans="1:17" x14ac:dyDescent="0.35">
      <c r="A128" s="10"/>
      <c r="B128" s="10"/>
      <c r="C128" s="43" t="str">
        <f>IF(B128="","",IFERROR(INDEX(Assessment!$E$5:$E$2000,MATCH(B128,Assessment!$A$5:$A$2000,0)),"Not found"))</f>
        <v/>
      </c>
      <c r="D128" s="10"/>
      <c r="E128" s="10"/>
      <c r="F128" s="10"/>
      <c r="G128" s="10"/>
      <c r="H128" s="44" t="str">
        <f t="shared" si="1"/>
        <v/>
      </c>
      <c r="I128" s="44" t="str">
        <f>IF(H128="","",INDEX(Risk_Model!$B$30:$B$33,MATCH(H128,Risk_Model!$A$30:$A$33,1)))</f>
        <v/>
      </c>
      <c r="J128" s="10"/>
      <c r="K128" s="44" t="str">
        <f>IF(B128="","",IFERROR(IF(INDEX(Assessment!$K$5:$K$2000,MATCH(B128,Assessment!$A$5:$A$2000,0))="","",INDEX(Assessment!$K$5:$K$2000,MATCH(B128,Assessment!$A$5:$A$2000,0))),""))</f>
        <v/>
      </c>
      <c r="L128" s="47" t="str">
        <f>IF(OR(H128="",K128=""),"",ROUND(H128*(1-INDEX(Risk_Model!$C$38:$C$43,MATCH(K128,Risk_Model!$A$38:$A$43,0))),1))</f>
        <v/>
      </c>
      <c r="M128" s="44" t="str">
        <f>IF(L128="","",INDEX(Risk_Model!$B$30:$B$33,MATCH(L128,Risk_Model!$A$30:$A$33,1)))</f>
        <v/>
      </c>
      <c r="N128" s="10"/>
      <c r="O128" s="14"/>
      <c r="P128" s="10"/>
      <c r="Q128" s="10"/>
    </row>
    <row r="129" spans="1:17" x14ac:dyDescent="0.35">
      <c r="A129" s="10"/>
      <c r="B129" s="10"/>
      <c r="C129" s="43" t="str">
        <f>IF(B129="","",IFERROR(INDEX(Assessment!$E$5:$E$2000,MATCH(B129,Assessment!$A$5:$A$2000,0)),"Not found"))</f>
        <v/>
      </c>
      <c r="D129" s="10"/>
      <c r="E129" s="10"/>
      <c r="F129" s="10"/>
      <c r="G129" s="10"/>
      <c r="H129" s="44" t="str">
        <f t="shared" si="1"/>
        <v/>
      </c>
      <c r="I129" s="44" t="str">
        <f>IF(H129="","",INDEX(Risk_Model!$B$30:$B$33,MATCH(H129,Risk_Model!$A$30:$A$33,1)))</f>
        <v/>
      </c>
      <c r="J129" s="10"/>
      <c r="K129" s="44" t="str">
        <f>IF(B129="","",IFERROR(IF(INDEX(Assessment!$K$5:$K$2000,MATCH(B129,Assessment!$A$5:$A$2000,0))="","",INDEX(Assessment!$K$5:$K$2000,MATCH(B129,Assessment!$A$5:$A$2000,0))),""))</f>
        <v/>
      </c>
      <c r="L129" s="47" t="str">
        <f>IF(OR(H129="",K129=""),"",ROUND(H129*(1-INDEX(Risk_Model!$C$38:$C$43,MATCH(K129,Risk_Model!$A$38:$A$43,0))),1))</f>
        <v/>
      </c>
      <c r="M129" s="44" t="str">
        <f>IF(L129="","",INDEX(Risk_Model!$B$30:$B$33,MATCH(L129,Risk_Model!$A$30:$A$33,1)))</f>
        <v/>
      </c>
      <c r="N129" s="10"/>
      <c r="O129" s="14"/>
      <c r="P129" s="10"/>
      <c r="Q129" s="10"/>
    </row>
    <row r="130" spans="1:17" x14ac:dyDescent="0.35">
      <c r="A130" s="10"/>
      <c r="B130" s="10"/>
      <c r="C130" s="43" t="str">
        <f>IF(B130="","",IFERROR(INDEX(Assessment!$E$5:$E$2000,MATCH(B130,Assessment!$A$5:$A$2000,0)),"Not found"))</f>
        <v/>
      </c>
      <c r="D130" s="10"/>
      <c r="E130" s="10"/>
      <c r="F130" s="10"/>
      <c r="G130" s="10"/>
      <c r="H130" s="44" t="str">
        <f t="shared" si="1"/>
        <v/>
      </c>
      <c r="I130" s="44" t="str">
        <f>IF(H130="","",INDEX(Risk_Model!$B$30:$B$33,MATCH(H130,Risk_Model!$A$30:$A$33,1)))</f>
        <v/>
      </c>
      <c r="J130" s="10"/>
      <c r="K130" s="44" t="str">
        <f>IF(B130="","",IFERROR(IF(INDEX(Assessment!$K$5:$K$2000,MATCH(B130,Assessment!$A$5:$A$2000,0))="","",INDEX(Assessment!$K$5:$K$2000,MATCH(B130,Assessment!$A$5:$A$2000,0))),""))</f>
        <v/>
      </c>
      <c r="L130" s="47" t="str">
        <f>IF(OR(H130="",K130=""),"",ROUND(H130*(1-INDEX(Risk_Model!$C$38:$C$43,MATCH(K130,Risk_Model!$A$38:$A$43,0))),1))</f>
        <v/>
      </c>
      <c r="M130" s="44" t="str">
        <f>IF(L130="","",INDEX(Risk_Model!$B$30:$B$33,MATCH(L130,Risk_Model!$A$30:$A$33,1)))</f>
        <v/>
      </c>
      <c r="N130" s="10"/>
      <c r="O130" s="14"/>
      <c r="P130" s="10"/>
      <c r="Q130" s="10"/>
    </row>
    <row r="131" spans="1:17" x14ac:dyDescent="0.35">
      <c r="A131" s="10"/>
      <c r="B131" s="10"/>
      <c r="C131" s="43" t="str">
        <f>IF(B131="","",IFERROR(INDEX(Assessment!$E$5:$E$2000,MATCH(B131,Assessment!$A$5:$A$2000,0)),"Not found"))</f>
        <v/>
      </c>
      <c r="D131" s="10"/>
      <c r="E131" s="10"/>
      <c r="F131" s="10"/>
      <c r="G131" s="10"/>
      <c r="H131" s="44" t="str">
        <f t="shared" si="1"/>
        <v/>
      </c>
      <c r="I131" s="44" t="str">
        <f>IF(H131="","",INDEX(Risk_Model!$B$30:$B$33,MATCH(H131,Risk_Model!$A$30:$A$33,1)))</f>
        <v/>
      </c>
      <c r="J131" s="10"/>
      <c r="K131" s="44" t="str">
        <f>IF(B131="","",IFERROR(IF(INDEX(Assessment!$K$5:$K$2000,MATCH(B131,Assessment!$A$5:$A$2000,0))="","",INDEX(Assessment!$K$5:$K$2000,MATCH(B131,Assessment!$A$5:$A$2000,0))),""))</f>
        <v/>
      </c>
      <c r="L131" s="47" t="str">
        <f>IF(OR(H131="",K131=""),"",ROUND(H131*(1-INDEX(Risk_Model!$C$38:$C$43,MATCH(K131,Risk_Model!$A$38:$A$43,0))),1))</f>
        <v/>
      </c>
      <c r="M131" s="44" t="str">
        <f>IF(L131="","",INDEX(Risk_Model!$B$30:$B$33,MATCH(L131,Risk_Model!$A$30:$A$33,1)))</f>
        <v/>
      </c>
      <c r="N131" s="10"/>
      <c r="O131" s="14"/>
      <c r="P131" s="10"/>
      <c r="Q131" s="10"/>
    </row>
    <row r="132" spans="1:17" x14ac:dyDescent="0.35">
      <c r="A132" s="10"/>
      <c r="B132" s="10"/>
      <c r="C132" s="43" t="str">
        <f>IF(B132="","",IFERROR(INDEX(Assessment!$E$5:$E$2000,MATCH(B132,Assessment!$A$5:$A$2000,0)),"Not found"))</f>
        <v/>
      </c>
      <c r="D132" s="10"/>
      <c r="E132" s="10"/>
      <c r="F132" s="10"/>
      <c r="G132" s="10"/>
      <c r="H132" s="44" t="str">
        <f t="shared" si="1"/>
        <v/>
      </c>
      <c r="I132" s="44" t="str">
        <f>IF(H132="","",INDEX(Risk_Model!$B$30:$B$33,MATCH(H132,Risk_Model!$A$30:$A$33,1)))</f>
        <v/>
      </c>
      <c r="J132" s="10"/>
      <c r="K132" s="44" t="str">
        <f>IF(B132="","",IFERROR(IF(INDEX(Assessment!$K$5:$K$2000,MATCH(B132,Assessment!$A$5:$A$2000,0))="","",INDEX(Assessment!$K$5:$K$2000,MATCH(B132,Assessment!$A$5:$A$2000,0))),""))</f>
        <v/>
      </c>
      <c r="L132" s="47" t="str">
        <f>IF(OR(H132="",K132=""),"",ROUND(H132*(1-INDEX(Risk_Model!$C$38:$C$43,MATCH(K132,Risk_Model!$A$38:$A$43,0))),1))</f>
        <v/>
      </c>
      <c r="M132" s="44" t="str">
        <f>IF(L132="","",INDEX(Risk_Model!$B$30:$B$33,MATCH(L132,Risk_Model!$A$30:$A$33,1)))</f>
        <v/>
      </c>
      <c r="N132" s="10"/>
      <c r="O132" s="14"/>
      <c r="P132" s="10"/>
      <c r="Q132" s="10"/>
    </row>
    <row r="133" spans="1:17" x14ac:dyDescent="0.35">
      <c r="A133" s="10"/>
      <c r="B133" s="10"/>
      <c r="C133" s="43" t="str">
        <f>IF(B133="","",IFERROR(INDEX(Assessment!$E$5:$E$2000,MATCH(B133,Assessment!$A$5:$A$2000,0)),"Not found"))</f>
        <v/>
      </c>
      <c r="D133" s="10"/>
      <c r="E133" s="10"/>
      <c r="F133" s="10"/>
      <c r="G133" s="10"/>
      <c r="H133" s="44" t="str">
        <f t="shared" ref="H133:H196" si="2">IF(OR(F133="",G133=""),"",F133*G133)</f>
        <v/>
      </c>
      <c r="I133" s="44" t="str">
        <f>IF(H133="","",INDEX(Risk_Model!$B$30:$B$33,MATCH(H133,Risk_Model!$A$30:$A$33,1)))</f>
        <v/>
      </c>
      <c r="J133" s="10"/>
      <c r="K133" s="44" t="str">
        <f>IF(B133="","",IFERROR(IF(INDEX(Assessment!$K$5:$K$2000,MATCH(B133,Assessment!$A$5:$A$2000,0))="","",INDEX(Assessment!$K$5:$K$2000,MATCH(B133,Assessment!$A$5:$A$2000,0))),""))</f>
        <v/>
      </c>
      <c r="L133" s="47" t="str">
        <f>IF(OR(H133="",K133=""),"",ROUND(H133*(1-INDEX(Risk_Model!$C$38:$C$43,MATCH(K133,Risk_Model!$A$38:$A$43,0))),1))</f>
        <v/>
      </c>
      <c r="M133" s="44" t="str">
        <f>IF(L133="","",INDEX(Risk_Model!$B$30:$B$33,MATCH(L133,Risk_Model!$A$30:$A$33,1)))</f>
        <v/>
      </c>
      <c r="N133" s="10"/>
      <c r="O133" s="14"/>
      <c r="P133" s="10"/>
      <c r="Q133" s="10"/>
    </row>
    <row r="134" spans="1:17" x14ac:dyDescent="0.35">
      <c r="A134" s="10"/>
      <c r="B134" s="10"/>
      <c r="C134" s="43" t="str">
        <f>IF(B134="","",IFERROR(INDEX(Assessment!$E$5:$E$2000,MATCH(B134,Assessment!$A$5:$A$2000,0)),"Not found"))</f>
        <v/>
      </c>
      <c r="D134" s="10"/>
      <c r="E134" s="10"/>
      <c r="F134" s="10"/>
      <c r="G134" s="10"/>
      <c r="H134" s="44" t="str">
        <f t="shared" si="2"/>
        <v/>
      </c>
      <c r="I134" s="44" t="str">
        <f>IF(H134="","",INDEX(Risk_Model!$B$30:$B$33,MATCH(H134,Risk_Model!$A$30:$A$33,1)))</f>
        <v/>
      </c>
      <c r="J134" s="10"/>
      <c r="K134" s="44" t="str">
        <f>IF(B134="","",IFERROR(IF(INDEX(Assessment!$K$5:$K$2000,MATCH(B134,Assessment!$A$5:$A$2000,0))="","",INDEX(Assessment!$K$5:$K$2000,MATCH(B134,Assessment!$A$5:$A$2000,0))),""))</f>
        <v/>
      </c>
      <c r="L134" s="47" t="str">
        <f>IF(OR(H134="",K134=""),"",ROUND(H134*(1-INDEX(Risk_Model!$C$38:$C$43,MATCH(K134,Risk_Model!$A$38:$A$43,0))),1))</f>
        <v/>
      </c>
      <c r="M134" s="44" t="str">
        <f>IF(L134="","",INDEX(Risk_Model!$B$30:$B$33,MATCH(L134,Risk_Model!$A$30:$A$33,1)))</f>
        <v/>
      </c>
      <c r="N134" s="10"/>
      <c r="O134" s="14"/>
      <c r="P134" s="10"/>
      <c r="Q134" s="10"/>
    </row>
    <row r="135" spans="1:17" x14ac:dyDescent="0.35">
      <c r="A135" s="10"/>
      <c r="B135" s="10"/>
      <c r="C135" s="43" t="str">
        <f>IF(B135="","",IFERROR(INDEX(Assessment!$E$5:$E$2000,MATCH(B135,Assessment!$A$5:$A$2000,0)),"Not found"))</f>
        <v/>
      </c>
      <c r="D135" s="10"/>
      <c r="E135" s="10"/>
      <c r="F135" s="10"/>
      <c r="G135" s="10"/>
      <c r="H135" s="44" t="str">
        <f t="shared" si="2"/>
        <v/>
      </c>
      <c r="I135" s="44" t="str">
        <f>IF(H135="","",INDEX(Risk_Model!$B$30:$B$33,MATCH(H135,Risk_Model!$A$30:$A$33,1)))</f>
        <v/>
      </c>
      <c r="J135" s="10"/>
      <c r="K135" s="44" t="str">
        <f>IF(B135="","",IFERROR(IF(INDEX(Assessment!$K$5:$K$2000,MATCH(B135,Assessment!$A$5:$A$2000,0))="","",INDEX(Assessment!$K$5:$K$2000,MATCH(B135,Assessment!$A$5:$A$2000,0))),""))</f>
        <v/>
      </c>
      <c r="L135" s="47" t="str">
        <f>IF(OR(H135="",K135=""),"",ROUND(H135*(1-INDEX(Risk_Model!$C$38:$C$43,MATCH(K135,Risk_Model!$A$38:$A$43,0))),1))</f>
        <v/>
      </c>
      <c r="M135" s="44" t="str">
        <f>IF(L135="","",INDEX(Risk_Model!$B$30:$B$33,MATCH(L135,Risk_Model!$A$30:$A$33,1)))</f>
        <v/>
      </c>
      <c r="N135" s="10"/>
      <c r="O135" s="14"/>
      <c r="P135" s="10"/>
      <c r="Q135" s="10"/>
    </row>
    <row r="136" spans="1:17" x14ac:dyDescent="0.35">
      <c r="A136" s="10"/>
      <c r="B136" s="10"/>
      <c r="C136" s="43" t="str">
        <f>IF(B136="","",IFERROR(INDEX(Assessment!$E$5:$E$2000,MATCH(B136,Assessment!$A$5:$A$2000,0)),"Not found"))</f>
        <v/>
      </c>
      <c r="D136" s="10"/>
      <c r="E136" s="10"/>
      <c r="F136" s="10"/>
      <c r="G136" s="10"/>
      <c r="H136" s="44" t="str">
        <f t="shared" si="2"/>
        <v/>
      </c>
      <c r="I136" s="44" t="str">
        <f>IF(H136="","",INDEX(Risk_Model!$B$30:$B$33,MATCH(H136,Risk_Model!$A$30:$A$33,1)))</f>
        <v/>
      </c>
      <c r="J136" s="10"/>
      <c r="K136" s="44" t="str">
        <f>IF(B136="","",IFERROR(IF(INDEX(Assessment!$K$5:$K$2000,MATCH(B136,Assessment!$A$5:$A$2000,0))="","",INDEX(Assessment!$K$5:$K$2000,MATCH(B136,Assessment!$A$5:$A$2000,0))),""))</f>
        <v/>
      </c>
      <c r="L136" s="47" t="str">
        <f>IF(OR(H136="",K136=""),"",ROUND(H136*(1-INDEX(Risk_Model!$C$38:$C$43,MATCH(K136,Risk_Model!$A$38:$A$43,0))),1))</f>
        <v/>
      </c>
      <c r="M136" s="44" t="str">
        <f>IF(L136="","",INDEX(Risk_Model!$B$30:$B$33,MATCH(L136,Risk_Model!$A$30:$A$33,1)))</f>
        <v/>
      </c>
      <c r="N136" s="10"/>
      <c r="O136" s="14"/>
      <c r="P136" s="10"/>
      <c r="Q136" s="10"/>
    </row>
    <row r="137" spans="1:17" x14ac:dyDescent="0.35">
      <c r="A137" s="10"/>
      <c r="B137" s="10"/>
      <c r="C137" s="43" t="str">
        <f>IF(B137="","",IFERROR(INDEX(Assessment!$E$5:$E$2000,MATCH(B137,Assessment!$A$5:$A$2000,0)),"Not found"))</f>
        <v/>
      </c>
      <c r="D137" s="10"/>
      <c r="E137" s="10"/>
      <c r="F137" s="10"/>
      <c r="G137" s="10"/>
      <c r="H137" s="44" t="str">
        <f t="shared" si="2"/>
        <v/>
      </c>
      <c r="I137" s="44" t="str">
        <f>IF(H137="","",INDEX(Risk_Model!$B$30:$B$33,MATCH(H137,Risk_Model!$A$30:$A$33,1)))</f>
        <v/>
      </c>
      <c r="J137" s="10"/>
      <c r="K137" s="44" t="str">
        <f>IF(B137="","",IFERROR(IF(INDEX(Assessment!$K$5:$K$2000,MATCH(B137,Assessment!$A$5:$A$2000,0))="","",INDEX(Assessment!$K$5:$K$2000,MATCH(B137,Assessment!$A$5:$A$2000,0))),""))</f>
        <v/>
      </c>
      <c r="L137" s="47" t="str">
        <f>IF(OR(H137="",K137=""),"",ROUND(H137*(1-INDEX(Risk_Model!$C$38:$C$43,MATCH(K137,Risk_Model!$A$38:$A$43,0))),1))</f>
        <v/>
      </c>
      <c r="M137" s="44" t="str">
        <f>IF(L137="","",INDEX(Risk_Model!$B$30:$B$33,MATCH(L137,Risk_Model!$A$30:$A$33,1)))</f>
        <v/>
      </c>
      <c r="N137" s="10"/>
      <c r="O137" s="14"/>
      <c r="P137" s="10"/>
      <c r="Q137" s="10"/>
    </row>
    <row r="138" spans="1:17" x14ac:dyDescent="0.35">
      <c r="A138" s="10"/>
      <c r="B138" s="10"/>
      <c r="C138" s="43" t="str">
        <f>IF(B138="","",IFERROR(INDEX(Assessment!$E$5:$E$2000,MATCH(B138,Assessment!$A$5:$A$2000,0)),"Not found"))</f>
        <v/>
      </c>
      <c r="D138" s="10"/>
      <c r="E138" s="10"/>
      <c r="F138" s="10"/>
      <c r="G138" s="10"/>
      <c r="H138" s="44" t="str">
        <f t="shared" si="2"/>
        <v/>
      </c>
      <c r="I138" s="44" t="str">
        <f>IF(H138="","",INDEX(Risk_Model!$B$30:$B$33,MATCH(H138,Risk_Model!$A$30:$A$33,1)))</f>
        <v/>
      </c>
      <c r="J138" s="10"/>
      <c r="K138" s="44" t="str">
        <f>IF(B138="","",IFERROR(IF(INDEX(Assessment!$K$5:$K$2000,MATCH(B138,Assessment!$A$5:$A$2000,0))="","",INDEX(Assessment!$K$5:$K$2000,MATCH(B138,Assessment!$A$5:$A$2000,0))),""))</f>
        <v/>
      </c>
      <c r="L138" s="47" t="str">
        <f>IF(OR(H138="",K138=""),"",ROUND(H138*(1-INDEX(Risk_Model!$C$38:$C$43,MATCH(K138,Risk_Model!$A$38:$A$43,0))),1))</f>
        <v/>
      </c>
      <c r="M138" s="44" t="str">
        <f>IF(L138="","",INDEX(Risk_Model!$B$30:$B$33,MATCH(L138,Risk_Model!$A$30:$A$33,1)))</f>
        <v/>
      </c>
      <c r="N138" s="10"/>
      <c r="O138" s="14"/>
      <c r="P138" s="10"/>
      <c r="Q138" s="10"/>
    </row>
    <row r="139" spans="1:17" x14ac:dyDescent="0.35">
      <c r="A139" s="10"/>
      <c r="B139" s="10"/>
      <c r="C139" s="43" t="str">
        <f>IF(B139="","",IFERROR(INDEX(Assessment!$E$5:$E$2000,MATCH(B139,Assessment!$A$5:$A$2000,0)),"Not found"))</f>
        <v/>
      </c>
      <c r="D139" s="10"/>
      <c r="E139" s="10"/>
      <c r="F139" s="10"/>
      <c r="G139" s="10"/>
      <c r="H139" s="44" t="str">
        <f t="shared" si="2"/>
        <v/>
      </c>
      <c r="I139" s="44" t="str">
        <f>IF(H139="","",INDEX(Risk_Model!$B$30:$B$33,MATCH(H139,Risk_Model!$A$30:$A$33,1)))</f>
        <v/>
      </c>
      <c r="J139" s="10"/>
      <c r="K139" s="44" t="str">
        <f>IF(B139="","",IFERROR(IF(INDEX(Assessment!$K$5:$K$2000,MATCH(B139,Assessment!$A$5:$A$2000,0))="","",INDEX(Assessment!$K$5:$K$2000,MATCH(B139,Assessment!$A$5:$A$2000,0))),""))</f>
        <v/>
      </c>
      <c r="L139" s="47" t="str">
        <f>IF(OR(H139="",K139=""),"",ROUND(H139*(1-INDEX(Risk_Model!$C$38:$C$43,MATCH(K139,Risk_Model!$A$38:$A$43,0))),1))</f>
        <v/>
      </c>
      <c r="M139" s="44" t="str">
        <f>IF(L139="","",INDEX(Risk_Model!$B$30:$B$33,MATCH(L139,Risk_Model!$A$30:$A$33,1)))</f>
        <v/>
      </c>
      <c r="N139" s="10"/>
      <c r="O139" s="14"/>
      <c r="P139" s="10"/>
      <c r="Q139" s="10"/>
    </row>
    <row r="140" spans="1:17" x14ac:dyDescent="0.35">
      <c r="A140" s="10"/>
      <c r="B140" s="10"/>
      <c r="C140" s="43" t="str">
        <f>IF(B140="","",IFERROR(INDEX(Assessment!$E$5:$E$2000,MATCH(B140,Assessment!$A$5:$A$2000,0)),"Not found"))</f>
        <v/>
      </c>
      <c r="D140" s="10"/>
      <c r="E140" s="10"/>
      <c r="F140" s="10"/>
      <c r="G140" s="10"/>
      <c r="H140" s="44" t="str">
        <f t="shared" si="2"/>
        <v/>
      </c>
      <c r="I140" s="44" t="str">
        <f>IF(H140="","",INDEX(Risk_Model!$B$30:$B$33,MATCH(H140,Risk_Model!$A$30:$A$33,1)))</f>
        <v/>
      </c>
      <c r="J140" s="10"/>
      <c r="K140" s="44" t="str">
        <f>IF(B140="","",IFERROR(IF(INDEX(Assessment!$K$5:$K$2000,MATCH(B140,Assessment!$A$5:$A$2000,0))="","",INDEX(Assessment!$K$5:$K$2000,MATCH(B140,Assessment!$A$5:$A$2000,0))),""))</f>
        <v/>
      </c>
      <c r="L140" s="47" t="str">
        <f>IF(OR(H140="",K140=""),"",ROUND(H140*(1-INDEX(Risk_Model!$C$38:$C$43,MATCH(K140,Risk_Model!$A$38:$A$43,0))),1))</f>
        <v/>
      </c>
      <c r="M140" s="44" t="str">
        <f>IF(L140="","",INDEX(Risk_Model!$B$30:$B$33,MATCH(L140,Risk_Model!$A$30:$A$33,1)))</f>
        <v/>
      </c>
      <c r="N140" s="10"/>
      <c r="O140" s="14"/>
      <c r="P140" s="10"/>
      <c r="Q140" s="10"/>
    </row>
    <row r="141" spans="1:17" x14ac:dyDescent="0.35">
      <c r="A141" s="10"/>
      <c r="B141" s="10"/>
      <c r="C141" s="43" t="str">
        <f>IF(B141="","",IFERROR(INDEX(Assessment!$E$5:$E$2000,MATCH(B141,Assessment!$A$5:$A$2000,0)),"Not found"))</f>
        <v/>
      </c>
      <c r="D141" s="10"/>
      <c r="E141" s="10"/>
      <c r="F141" s="10"/>
      <c r="G141" s="10"/>
      <c r="H141" s="44" t="str">
        <f t="shared" si="2"/>
        <v/>
      </c>
      <c r="I141" s="44" t="str">
        <f>IF(H141="","",INDEX(Risk_Model!$B$30:$B$33,MATCH(H141,Risk_Model!$A$30:$A$33,1)))</f>
        <v/>
      </c>
      <c r="J141" s="10"/>
      <c r="K141" s="44" t="str">
        <f>IF(B141="","",IFERROR(IF(INDEX(Assessment!$K$5:$K$2000,MATCH(B141,Assessment!$A$5:$A$2000,0))="","",INDEX(Assessment!$K$5:$K$2000,MATCH(B141,Assessment!$A$5:$A$2000,0))),""))</f>
        <v/>
      </c>
      <c r="L141" s="47" t="str">
        <f>IF(OR(H141="",K141=""),"",ROUND(H141*(1-INDEX(Risk_Model!$C$38:$C$43,MATCH(K141,Risk_Model!$A$38:$A$43,0))),1))</f>
        <v/>
      </c>
      <c r="M141" s="44" t="str">
        <f>IF(L141="","",INDEX(Risk_Model!$B$30:$B$33,MATCH(L141,Risk_Model!$A$30:$A$33,1)))</f>
        <v/>
      </c>
      <c r="N141" s="10"/>
      <c r="O141" s="14"/>
      <c r="P141" s="10"/>
      <c r="Q141" s="10"/>
    </row>
    <row r="142" spans="1:17" x14ac:dyDescent="0.35">
      <c r="A142" s="10"/>
      <c r="B142" s="10"/>
      <c r="C142" s="43" t="str">
        <f>IF(B142="","",IFERROR(INDEX(Assessment!$E$5:$E$2000,MATCH(B142,Assessment!$A$5:$A$2000,0)),"Not found"))</f>
        <v/>
      </c>
      <c r="D142" s="10"/>
      <c r="E142" s="10"/>
      <c r="F142" s="10"/>
      <c r="G142" s="10"/>
      <c r="H142" s="44" t="str">
        <f t="shared" si="2"/>
        <v/>
      </c>
      <c r="I142" s="44" t="str">
        <f>IF(H142="","",INDEX(Risk_Model!$B$30:$B$33,MATCH(H142,Risk_Model!$A$30:$A$33,1)))</f>
        <v/>
      </c>
      <c r="J142" s="10"/>
      <c r="K142" s="44" t="str">
        <f>IF(B142="","",IFERROR(IF(INDEX(Assessment!$K$5:$K$2000,MATCH(B142,Assessment!$A$5:$A$2000,0))="","",INDEX(Assessment!$K$5:$K$2000,MATCH(B142,Assessment!$A$5:$A$2000,0))),""))</f>
        <v/>
      </c>
      <c r="L142" s="47" t="str">
        <f>IF(OR(H142="",K142=""),"",ROUND(H142*(1-INDEX(Risk_Model!$C$38:$C$43,MATCH(K142,Risk_Model!$A$38:$A$43,0))),1))</f>
        <v/>
      </c>
      <c r="M142" s="44" t="str">
        <f>IF(L142="","",INDEX(Risk_Model!$B$30:$B$33,MATCH(L142,Risk_Model!$A$30:$A$33,1)))</f>
        <v/>
      </c>
      <c r="N142" s="10"/>
      <c r="O142" s="14"/>
      <c r="P142" s="10"/>
      <c r="Q142" s="10"/>
    </row>
    <row r="143" spans="1:17" x14ac:dyDescent="0.35">
      <c r="A143" s="10"/>
      <c r="B143" s="10"/>
      <c r="C143" s="43" t="str">
        <f>IF(B143="","",IFERROR(INDEX(Assessment!$E$5:$E$2000,MATCH(B143,Assessment!$A$5:$A$2000,0)),"Not found"))</f>
        <v/>
      </c>
      <c r="D143" s="10"/>
      <c r="E143" s="10"/>
      <c r="F143" s="10"/>
      <c r="G143" s="10"/>
      <c r="H143" s="44" t="str">
        <f t="shared" si="2"/>
        <v/>
      </c>
      <c r="I143" s="44" t="str">
        <f>IF(H143="","",INDEX(Risk_Model!$B$30:$B$33,MATCH(H143,Risk_Model!$A$30:$A$33,1)))</f>
        <v/>
      </c>
      <c r="J143" s="10"/>
      <c r="K143" s="44" t="str">
        <f>IF(B143="","",IFERROR(IF(INDEX(Assessment!$K$5:$K$2000,MATCH(B143,Assessment!$A$5:$A$2000,0))="","",INDEX(Assessment!$K$5:$K$2000,MATCH(B143,Assessment!$A$5:$A$2000,0))),""))</f>
        <v/>
      </c>
      <c r="L143" s="47" t="str">
        <f>IF(OR(H143="",K143=""),"",ROUND(H143*(1-INDEX(Risk_Model!$C$38:$C$43,MATCH(K143,Risk_Model!$A$38:$A$43,0))),1))</f>
        <v/>
      </c>
      <c r="M143" s="44" t="str">
        <f>IF(L143="","",INDEX(Risk_Model!$B$30:$B$33,MATCH(L143,Risk_Model!$A$30:$A$33,1)))</f>
        <v/>
      </c>
      <c r="N143" s="10"/>
      <c r="O143" s="14"/>
      <c r="P143" s="10"/>
      <c r="Q143" s="10"/>
    </row>
    <row r="144" spans="1:17" x14ac:dyDescent="0.35">
      <c r="A144" s="10"/>
      <c r="B144" s="10"/>
      <c r="C144" s="43" t="str">
        <f>IF(B144="","",IFERROR(INDEX(Assessment!$E$5:$E$2000,MATCH(B144,Assessment!$A$5:$A$2000,0)),"Not found"))</f>
        <v/>
      </c>
      <c r="D144" s="10"/>
      <c r="E144" s="10"/>
      <c r="F144" s="10"/>
      <c r="G144" s="10"/>
      <c r="H144" s="44" t="str">
        <f t="shared" si="2"/>
        <v/>
      </c>
      <c r="I144" s="44" t="str">
        <f>IF(H144="","",INDEX(Risk_Model!$B$30:$B$33,MATCH(H144,Risk_Model!$A$30:$A$33,1)))</f>
        <v/>
      </c>
      <c r="J144" s="10"/>
      <c r="K144" s="44" t="str">
        <f>IF(B144="","",IFERROR(IF(INDEX(Assessment!$K$5:$K$2000,MATCH(B144,Assessment!$A$5:$A$2000,0))="","",INDEX(Assessment!$K$5:$K$2000,MATCH(B144,Assessment!$A$5:$A$2000,0))),""))</f>
        <v/>
      </c>
      <c r="L144" s="47" t="str">
        <f>IF(OR(H144="",K144=""),"",ROUND(H144*(1-INDEX(Risk_Model!$C$38:$C$43,MATCH(K144,Risk_Model!$A$38:$A$43,0))),1))</f>
        <v/>
      </c>
      <c r="M144" s="44" t="str">
        <f>IF(L144="","",INDEX(Risk_Model!$B$30:$B$33,MATCH(L144,Risk_Model!$A$30:$A$33,1)))</f>
        <v/>
      </c>
      <c r="N144" s="10"/>
      <c r="O144" s="14"/>
      <c r="P144" s="10"/>
      <c r="Q144" s="10"/>
    </row>
    <row r="145" spans="1:17" x14ac:dyDescent="0.35">
      <c r="A145" s="10"/>
      <c r="B145" s="10"/>
      <c r="C145" s="43" t="str">
        <f>IF(B145="","",IFERROR(INDEX(Assessment!$E$5:$E$2000,MATCH(B145,Assessment!$A$5:$A$2000,0)),"Not found"))</f>
        <v/>
      </c>
      <c r="D145" s="10"/>
      <c r="E145" s="10"/>
      <c r="F145" s="10"/>
      <c r="G145" s="10"/>
      <c r="H145" s="44" t="str">
        <f t="shared" si="2"/>
        <v/>
      </c>
      <c r="I145" s="44" t="str">
        <f>IF(H145="","",INDEX(Risk_Model!$B$30:$B$33,MATCH(H145,Risk_Model!$A$30:$A$33,1)))</f>
        <v/>
      </c>
      <c r="J145" s="10"/>
      <c r="K145" s="44" t="str">
        <f>IF(B145="","",IFERROR(IF(INDEX(Assessment!$K$5:$K$2000,MATCH(B145,Assessment!$A$5:$A$2000,0))="","",INDEX(Assessment!$K$5:$K$2000,MATCH(B145,Assessment!$A$5:$A$2000,0))),""))</f>
        <v/>
      </c>
      <c r="L145" s="47" t="str">
        <f>IF(OR(H145="",K145=""),"",ROUND(H145*(1-INDEX(Risk_Model!$C$38:$C$43,MATCH(K145,Risk_Model!$A$38:$A$43,0))),1))</f>
        <v/>
      </c>
      <c r="M145" s="44" t="str">
        <f>IF(L145="","",INDEX(Risk_Model!$B$30:$B$33,MATCH(L145,Risk_Model!$A$30:$A$33,1)))</f>
        <v/>
      </c>
      <c r="N145" s="10"/>
      <c r="O145" s="14"/>
      <c r="P145" s="10"/>
      <c r="Q145" s="10"/>
    </row>
    <row r="146" spans="1:17" x14ac:dyDescent="0.35">
      <c r="A146" s="10"/>
      <c r="B146" s="10"/>
      <c r="C146" s="43" t="str">
        <f>IF(B146="","",IFERROR(INDEX(Assessment!$E$5:$E$2000,MATCH(B146,Assessment!$A$5:$A$2000,0)),"Not found"))</f>
        <v/>
      </c>
      <c r="D146" s="10"/>
      <c r="E146" s="10"/>
      <c r="F146" s="10"/>
      <c r="G146" s="10"/>
      <c r="H146" s="44" t="str">
        <f t="shared" si="2"/>
        <v/>
      </c>
      <c r="I146" s="44" t="str">
        <f>IF(H146="","",INDEX(Risk_Model!$B$30:$B$33,MATCH(H146,Risk_Model!$A$30:$A$33,1)))</f>
        <v/>
      </c>
      <c r="J146" s="10"/>
      <c r="K146" s="44" t="str">
        <f>IF(B146="","",IFERROR(IF(INDEX(Assessment!$K$5:$K$2000,MATCH(B146,Assessment!$A$5:$A$2000,0))="","",INDEX(Assessment!$K$5:$K$2000,MATCH(B146,Assessment!$A$5:$A$2000,0))),""))</f>
        <v/>
      </c>
      <c r="L146" s="47" t="str">
        <f>IF(OR(H146="",K146=""),"",ROUND(H146*(1-INDEX(Risk_Model!$C$38:$C$43,MATCH(K146,Risk_Model!$A$38:$A$43,0))),1))</f>
        <v/>
      </c>
      <c r="M146" s="44" t="str">
        <f>IF(L146="","",INDEX(Risk_Model!$B$30:$B$33,MATCH(L146,Risk_Model!$A$30:$A$33,1)))</f>
        <v/>
      </c>
      <c r="N146" s="10"/>
      <c r="O146" s="14"/>
      <c r="P146" s="10"/>
      <c r="Q146" s="10"/>
    </row>
    <row r="147" spans="1:17" x14ac:dyDescent="0.35">
      <c r="A147" s="10"/>
      <c r="B147" s="10"/>
      <c r="C147" s="43" t="str">
        <f>IF(B147="","",IFERROR(INDEX(Assessment!$E$5:$E$2000,MATCH(B147,Assessment!$A$5:$A$2000,0)),"Not found"))</f>
        <v/>
      </c>
      <c r="D147" s="10"/>
      <c r="E147" s="10"/>
      <c r="F147" s="10"/>
      <c r="G147" s="10"/>
      <c r="H147" s="44" t="str">
        <f t="shared" si="2"/>
        <v/>
      </c>
      <c r="I147" s="44" t="str">
        <f>IF(H147="","",INDEX(Risk_Model!$B$30:$B$33,MATCH(H147,Risk_Model!$A$30:$A$33,1)))</f>
        <v/>
      </c>
      <c r="J147" s="10"/>
      <c r="K147" s="44" t="str">
        <f>IF(B147="","",IFERROR(IF(INDEX(Assessment!$K$5:$K$2000,MATCH(B147,Assessment!$A$5:$A$2000,0))="","",INDEX(Assessment!$K$5:$K$2000,MATCH(B147,Assessment!$A$5:$A$2000,0))),""))</f>
        <v/>
      </c>
      <c r="L147" s="47" t="str">
        <f>IF(OR(H147="",K147=""),"",ROUND(H147*(1-INDEX(Risk_Model!$C$38:$C$43,MATCH(K147,Risk_Model!$A$38:$A$43,0))),1))</f>
        <v/>
      </c>
      <c r="M147" s="44" t="str">
        <f>IF(L147="","",INDEX(Risk_Model!$B$30:$B$33,MATCH(L147,Risk_Model!$A$30:$A$33,1)))</f>
        <v/>
      </c>
      <c r="N147" s="10"/>
      <c r="O147" s="14"/>
      <c r="P147" s="10"/>
      <c r="Q147" s="10"/>
    </row>
    <row r="148" spans="1:17" x14ac:dyDescent="0.35">
      <c r="A148" s="10"/>
      <c r="B148" s="10"/>
      <c r="C148" s="43" t="str">
        <f>IF(B148="","",IFERROR(INDEX(Assessment!$E$5:$E$2000,MATCH(B148,Assessment!$A$5:$A$2000,0)),"Not found"))</f>
        <v/>
      </c>
      <c r="D148" s="10"/>
      <c r="E148" s="10"/>
      <c r="F148" s="10"/>
      <c r="G148" s="10"/>
      <c r="H148" s="44" t="str">
        <f t="shared" si="2"/>
        <v/>
      </c>
      <c r="I148" s="44" t="str">
        <f>IF(H148="","",INDEX(Risk_Model!$B$30:$B$33,MATCH(H148,Risk_Model!$A$30:$A$33,1)))</f>
        <v/>
      </c>
      <c r="J148" s="10"/>
      <c r="K148" s="44" t="str">
        <f>IF(B148="","",IFERROR(IF(INDEX(Assessment!$K$5:$K$2000,MATCH(B148,Assessment!$A$5:$A$2000,0))="","",INDEX(Assessment!$K$5:$K$2000,MATCH(B148,Assessment!$A$5:$A$2000,0))),""))</f>
        <v/>
      </c>
      <c r="L148" s="47" t="str">
        <f>IF(OR(H148="",K148=""),"",ROUND(H148*(1-INDEX(Risk_Model!$C$38:$C$43,MATCH(K148,Risk_Model!$A$38:$A$43,0))),1))</f>
        <v/>
      </c>
      <c r="M148" s="44" t="str">
        <f>IF(L148="","",INDEX(Risk_Model!$B$30:$B$33,MATCH(L148,Risk_Model!$A$30:$A$33,1)))</f>
        <v/>
      </c>
      <c r="N148" s="10"/>
      <c r="O148" s="14"/>
      <c r="P148" s="10"/>
      <c r="Q148" s="10"/>
    </row>
    <row r="149" spans="1:17" x14ac:dyDescent="0.35">
      <c r="A149" s="10"/>
      <c r="B149" s="10"/>
      <c r="C149" s="43" t="str">
        <f>IF(B149="","",IFERROR(INDEX(Assessment!$E$5:$E$2000,MATCH(B149,Assessment!$A$5:$A$2000,0)),"Not found"))</f>
        <v/>
      </c>
      <c r="D149" s="10"/>
      <c r="E149" s="10"/>
      <c r="F149" s="10"/>
      <c r="G149" s="10"/>
      <c r="H149" s="44" t="str">
        <f t="shared" si="2"/>
        <v/>
      </c>
      <c r="I149" s="44" t="str">
        <f>IF(H149="","",INDEX(Risk_Model!$B$30:$B$33,MATCH(H149,Risk_Model!$A$30:$A$33,1)))</f>
        <v/>
      </c>
      <c r="J149" s="10"/>
      <c r="K149" s="44" t="str">
        <f>IF(B149="","",IFERROR(IF(INDEX(Assessment!$K$5:$K$2000,MATCH(B149,Assessment!$A$5:$A$2000,0))="","",INDEX(Assessment!$K$5:$K$2000,MATCH(B149,Assessment!$A$5:$A$2000,0))),""))</f>
        <v/>
      </c>
      <c r="L149" s="47" t="str">
        <f>IF(OR(H149="",K149=""),"",ROUND(H149*(1-INDEX(Risk_Model!$C$38:$C$43,MATCH(K149,Risk_Model!$A$38:$A$43,0))),1))</f>
        <v/>
      </c>
      <c r="M149" s="44" t="str">
        <f>IF(L149="","",INDEX(Risk_Model!$B$30:$B$33,MATCH(L149,Risk_Model!$A$30:$A$33,1)))</f>
        <v/>
      </c>
      <c r="N149" s="10"/>
      <c r="O149" s="14"/>
      <c r="P149" s="10"/>
      <c r="Q149" s="10"/>
    </row>
    <row r="150" spans="1:17" x14ac:dyDescent="0.35">
      <c r="A150" s="10"/>
      <c r="B150" s="10"/>
      <c r="C150" s="43" t="str">
        <f>IF(B150="","",IFERROR(INDEX(Assessment!$E$5:$E$2000,MATCH(B150,Assessment!$A$5:$A$2000,0)),"Not found"))</f>
        <v/>
      </c>
      <c r="D150" s="10"/>
      <c r="E150" s="10"/>
      <c r="F150" s="10"/>
      <c r="G150" s="10"/>
      <c r="H150" s="44" t="str">
        <f t="shared" si="2"/>
        <v/>
      </c>
      <c r="I150" s="44" t="str">
        <f>IF(H150="","",INDEX(Risk_Model!$B$30:$B$33,MATCH(H150,Risk_Model!$A$30:$A$33,1)))</f>
        <v/>
      </c>
      <c r="J150" s="10"/>
      <c r="K150" s="44" t="str">
        <f>IF(B150="","",IFERROR(IF(INDEX(Assessment!$K$5:$K$2000,MATCH(B150,Assessment!$A$5:$A$2000,0))="","",INDEX(Assessment!$K$5:$K$2000,MATCH(B150,Assessment!$A$5:$A$2000,0))),""))</f>
        <v/>
      </c>
      <c r="L150" s="47" t="str">
        <f>IF(OR(H150="",K150=""),"",ROUND(H150*(1-INDEX(Risk_Model!$C$38:$C$43,MATCH(K150,Risk_Model!$A$38:$A$43,0))),1))</f>
        <v/>
      </c>
      <c r="M150" s="44" t="str">
        <f>IF(L150="","",INDEX(Risk_Model!$B$30:$B$33,MATCH(L150,Risk_Model!$A$30:$A$33,1)))</f>
        <v/>
      </c>
      <c r="N150" s="10"/>
      <c r="O150" s="14"/>
      <c r="P150" s="10"/>
      <c r="Q150" s="10"/>
    </row>
    <row r="151" spans="1:17" x14ac:dyDescent="0.35">
      <c r="A151" s="10"/>
      <c r="B151" s="10"/>
      <c r="C151" s="43" t="str">
        <f>IF(B151="","",IFERROR(INDEX(Assessment!$E$5:$E$2000,MATCH(B151,Assessment!$A$5:$A$2000,0)),"Not found"))</f>
        <v/>
      </c>
      <c r="D151" s="10"/>
      <c r="E151" s="10"/>
      <c r="F151" s="10"/>
      <c r="G151" s="10"/>
      <c r="H151" s="44" t="str">
        <f t="shared" si="2"/>
        <v/>
      </c>
      <c r="I151" s="44" t="str">
        <f>IF(H151="","",INDEX(Risk_Model!$B$30:$B$33,MATCH(H151,Risk_Model!$A$30:$A$33,1)))</f>
        <v/>
      </c>
      <c r="J151" s="10"/>
      <c r="K151" s="44" t="str">
        <f>IF(B151="","",IFERROR(IF(INDEX(Assessment!$K$5:$K$2000,MATCH(B151,Assessment!$A$5:$A$2000,0))="","",INDEX(Assessment!$K$5:$K$2000,MATCH(B151,Assessment!$A$5:$A$2000,0))),""))</f>
        <v/>
      </c>
      <c r="L151" s="47" t="str">
        <f>IF(OR(H151="",K151=""),"",ROUND(H151*(1-INDEX(Risk_Model!$C$38:$C$43,MATCH(K151,Risk_Model!$A$38:$A$43,0))),1))</f>
        <v/>
      </c>
      <c r="M151" s="44" t="str">
        <f>IF(L151="","",INDEX(Risk_Model!$B$30:$B$33,MATCH(L151,Risk_Model!$A$30:$A$33,1)))</f>
        <v/>
      </c>
      <c r="N151" s="10"/>
      <c r="O151" s="14"/>
      <c r="P151" s="10"/>
      <c r="Q151" s="10"/>
    </row>
    <row r="152" spans="1:17" x14ac:dyDescent="0.35">
      <c r="A152" s="10"/>
      <c r="B152" s="10"/>
      <c r="C152" s="43" t="str">
        <f>IF(B152="","",IFERROR(INDEX(Assessment!$E$5:$E$2000,MATCH(B152,Assessment!$A$5:$A$2000,0)),"Not found"))</f>
        <v/>
      </c>
      <c r="D152" s="10"/>
      <c r="E152" s="10"/>
      <c r="F152" s="10"/>
      <c r="G152" s="10"/>
      <c r="H152" s="44" t="str">
        <f t="shared" si="2"/>
        <v/>
      </c>
      <c r="I152" s="44" t="str">
        <f>IF(H152="","",INDEX(Risk_Model!$B$30:$B$33,MATCH(H152,Risk_Model!$A$30:$A$33,1)))</f>
        <v/>
      </c>
      <c r="J152" s="10"/>
      <c r="K152" s="44" t="str">
        <f>IF(B152="","",IFERROR(IF(INDEX(Assessment!$K$5:$K$2000,MATCH(B152,Assessment!$A$5:$A$2000,0))="","",INDEX(Assessment!$K$5:$K$2000,MATCH(B152,Assessment!$A$5:$A$2000,0))),""))</f>
        <v/>
      </c>
      <c r="L152" s="47" t="str">
        <f>IF(OR(H152="",K152=""),"",ROUND(H152*(1-INDEX(Risk_Model!$C$38:$C$43,MATCH(K152,Risk_Model!$A$38:$A$43,0))),1))</f>
        <v/>
      </c>
      <c r="M152" s="44" t="str">
        <f>IF(L152="","",INDEX(Risk_Model!$B$30:$B$33,MATCH(L152,Risk_Model!$A$30:$A$33,1)))</f>
        <v/>
      </c>
      <c r="N152" s="10"/>
      <c r="O152" s="14"/>
      <c r="P152" s="10"/>
      <c r="Q152" s="10"/>
    </row>
    <row r="153" spans="1:17" x14ac:dyDescent="0.35">
      <c r="A153" s="10"/>
      <c r="B153" s="10"/>
      <c r="C153" s="43" t="str">
        <f>IF(B153="","",IFERROR(INDEX(Assessment!$E$5:$E$2000,MATCH(B153,Assessment!$A$5:$A$2000,0)),"Not found"))</f>
        <v/>
      </c>
      <c r="D153" s="10"/>
      <c r="E153" s="10"/>
      <c r="F153" s="10"/>
      <c r="G153" s="10"/>
      <c r="H153" s="44" t="str">
        <f t="shared" si="2"/>
        <v/>
      </c>
      <c r="I153" s="44" t="str">
        <f>IF(H153="","",INDEX(Risk_Model!$B$30:$B$33,MATCH(H153,Risk_Model!$A$30:$A$33,1)))</f>
        <v/>
      </c>
      <c r="J153" s="10"/>
      <c r="K153" s="44" t="str">
        <f>IF(B153="","",IFERROR(IF(INDEX(Assessment!$K$5:$K$2000,MATCH(B153,Assessment!$A$5:$A$2000,0))="","",INDEX(Assessment!$K$5:$K$2000,MATCH(B153,Assessment!$A$5:$A$2000,0))),""))</f>
        <v/>
      </c>
      <c r="L153" s="47" t="str">
        <f>IF(OR(H153="",K153=""),"",ROUND(H153*(1-INDEX(Risk_Model!$C$38:$C$43,MATCH(K153,Risk_Model!$A$38:$A$43,0))),1))</f>
        <v/>
      </c>
      <c r="M153" s="44" t="str">
        <f>IF(L153="","",INDEX(Risk_Model!$B$30:$B$33,MATCH(L153,Risk_Model!$A$30:$A$33,1)))</f>
        <v/>
      </c>
      <c r="N153" s="10"/>
      <c r="O153" s="14"/>
      <c r="P153" s="10"/>
      <c r="Q153" s="10"/>
    </row>
    <row r="154" spans="1:17" x14ac:dyDescent="0.35">
      <c r="A154" s="10"/>
      <c r="B154" s="10"/>
      <c r="C154" s="43" t="str">
        <f>IF(B154="","",IFERROR(INDEX(Assessment!$E$5:$E$2000,MATCH(B154,Assessment!$A$5:$A$2000,0)),"Not found"))</f>
        <v/>
      </c>
      <c r="D154" s="10"/>
      <c r="E154" s="10"/>
      <c r="F154" s="10"/>
      <c r="G154" s="10"/>
      <c r="H154" s="44" t="str">
        <f t="shared" si="2"/>
        <v/>
      </c>
      <c r="I154" s="44" t="str">
        <f>IF(H154="","",INDEX(Risk_Model!$B$30:$B$33,MATCH(H154,Risk_Model!$A$30:$A$33,1)))</f>
        <v/>
      </c>
      <c r="J154" s="10"/>
      <c r="K154" s="44" t="str">
        <f>IF(B154="","",IFERROR(IF(INDEX(Assessment!$K$5:$K$2000,MATCH(B154,Assessment!$A$5:$A$2000,0))="","",INDEX(Assessment!$K$5:$K$2000,MATCH(B154,Assessment!$A$5:$A$2000,0))),""))</f>
        <v/>
      </c>
      <c r="L154" s="47" t="str">
        <f>IF(OR(H154="",K154=""),"",ROUND(H154*(1-INDEX(Risk_Model!$C$38:$C$43,MATCH(K154,Risk_Model!$A$38:$A$43,0))),1))</f>
        <v/>
      </c>
      <c r="M154" s="44" t="str">
        <f>IF(L154="","",INDEX(Risk_Model!$B$30:$B$33,MATCH(L154,Risk_Model!$A$30:$A$33,1)))</f>
        <v/>
      </c>
      <c r="N154" s="10"/>
      <c r="O154" s="14"/>
      <c r="P154" s="10"/>
      <c r="Q154" s="10"/>
    </row>
    <row r="155" spans="1:17" x14ac:dyDescent="0.35">
      <c r="A155" s="10"/>
      <c r="B155" s="10"/>
      <c r="C155" s="43" t="str">
        <f>IF(B155="","",IFERROR(INDEX(Assessment!$E$5:$E$2000,MATCH(B155,Assessment!$A$5:$A$2000,0)),"Not found"))</f>
        <v/>
      </c>
      <c r="D155" s="10"/>
      <c r="E155" s="10"/>
      <c r="F155" s="10"/>
      <c r="G155" s="10"/>
      <c r="H155" s="44" t="str">
        <f t="shared" si="2"/>
        <v/>
      </c>
      <c r="I155" s="44" t="str">
        <f>IF(H155="","",INDEX(Risk_Model!$B$30:$B$33,MATCH(H155,Risk_Model!$A$30:$A$33,1)))</f>
        <v/>
      </c>
      <c r="J155" s="10"/>
      <c r="K155" s="44" t="str">
        <f>IF(B155="","",IFERROR(IF(INDEX(Assessment!$K$5:$K$2000,MATCH(B155,Assessment!$A$5:$A$2000,0))="","",INDEX(Assessment!$K$5:$K$2000,MATCH(B155,Assessment!$A$5:$A$2000,0))),""))</f>
        <v/>
      </c>
      <c r="L155" s="47" t="str">
        <f>IF(OR(H155="",K155=""),"",ROUND(H155*(1-INDEX(Risk_Model!$C$38:$C$43,MATCH(K155,Risk_Model!$A$38:$A$43,0))),1))</f>
        <v/>
      </c>
      <c r="M155" s="44" t="str">
        <f>IF(L155="","",INDEX(Risk_Model!$B$30:$B$33,MATCH(L155,Risk_Model!$A$30:$A$33,1)))</f>
        <v/>
      </c>
      <c r="N155" s="10"/>
      <c r="O155" s="14"/>
      <c r="P155" s="10"/>
      <c r="Q155" s="10"/>
    </row>
    <row r="156" spans="1:17" x14ac:dyDescent="0.35">
      <c r="A156" s="10"/>
      <c r="B156" s="10"/>
      <c r="C156" s="43" t="str">
        <f>IF(B156="","",IFERROR(INDEX(Assessment!$E$5:$E$2000,MATCH(B156,Assessment!$A$5:$A$2000,0)),"Not found"))</f>
        <v/>
      </c>
      <c r="D156" s="10"/>
      <c r="E156" s="10"/>
      <c r="F156" s="10"/>
      <c r="G156" s="10"/>
      <c r="H156" s="44" t="str">
        <f t="shared" si="2"/>
        <v/>
      </c>
      <c r="I156" s="44" t="str">
        <f>IF(H156="","",INDEX(Risk_Model!$B$30:$B$33,MATCH(H156,Risk_Model!$A$30:$A$33,1)))</f>
        <v/>
      </c>
      <c r="J156" s="10"/>
      <c r="K156" s="44" t="str">
        <f>IF(B156="","",IFERROR(IF(INDEX(Assessment!$K$5:$K$2000,MATCH(B156,Assessment!$A$5:$A$2000,0))="","",INDEX(Assessment!$K$5:$K$2000,MATCH(B156,Assessment!$A$5:$A$2000,0))),""))</f>
        <v/>
      </c>
      <c r="L156" s="47" t="str">
        <f>IF(OR(H156="",K156=""),"",ROUND(H156*(1-INDEX(Risk_Model!$C$38:$C$43,MATCH(K156,Risk_Model!$A$38:$A$43,0))),1))</f>
        <v/>
      </c>
      <c r="M156" s="44" t="str">
        <f>IF(L156="","",INDEX(Risk_Model!$B$30:$B$33,MATCH(L156,Risk_Model!$A$30:$A$33,1)))</f>
        <v/>
      </c>
      <c r="N156" s="10"/>
      <c r="O156" s="14"/>
      <c r="P156" s="10"/>
      <c r="Q156" s="10"/>
    </row>
    <row r="157" spans="1:17" x14ac:dyDescent="0.35">
      <c r="A157" s="10"/>
      <c r="B157" s="10"/>
      <c r="C157" s="43" t="str">
        <f>IF(B157="","",IFERROR(INDEX(Assessment!$E$5:$E$2000,MATCH(B157,Assessment!$A$5:$A$2000,0)),"Not found"))</f>
        <v/>
      </c>
      <c r="D157" s="10"/>
      <c r="E157" s="10"/>
      <c r="F157" s="10"/>
      <c r="G157" s="10"/>
      <c r="H157" s="44" t="str">
        <f t="shared" si="2"/>
        <v/>
      </c>
      <c r="I157" s="44" t="str">
        <f>IF(H157="","",INDEX(Risk_Model!$B$30:$B$33,MATCH(H157,Risk_Model!$A$30:$A$33,1)))</f>
        <v/>
      </c>
      <c r="J157" s="10"/>
      <c r="K157" s="44" t="str">
        <f>IF(B157="","",IFERROR(IF(INDEX(Assessment!$K$5:$K$2000,MATCH(B157,Assessment!$A$5:$A$2000,0))="","",INDEX(Assessment!$K$5:$K$2000,MATCH(B157,Assessment!$A$5:$A$2000,0))),""))</f>
        <v/>
      </c>
      <c r="L157" s="47" t="str">
        <f>IF(OR(H157="",K157=""),"",ROUND(H157*(1-INDEX(Risk_Model!$C$38:$C$43,MATCH(K157,Risk_Model!$A$38:$A$43,0))),1))</f>
        <v/>
      </c>
      <c r="M157" s="44" t="str">
        <f>IF(L157="","",INDEX(Risk_Model!$B$30:$B$33,MATCH(L157,Risk_Model!$A$30:$A$33,1)))</f>
        <v/>
      </c>
      <c r="N157" s="10"/>
      <c r="O157" s="14"/>
      <c r="P157" s="10"/>
      <c r="Q157" s="10"/>
    </row>
    <row r="158" spans="1:17" x14ac:dyDescent="0.35">
      <c r="A158" s="10"/>
      <c r="B158" s="10"/>
      <c r="C158" s="43" t="str">
        <f>IF(B158="","",IFERROR(INDEX(Assessment!$E$5:$E$2000,MATCH(B158,Assessment!$A$5:$A$2000,0)),"Not found"))</f>
        <v/>
      </c>
      <c r="D158" s="10"/>
      <c r="E158" s="10"/>
      <c r="F158" s="10"/>
      <c r="G158" s="10"/>
      <c r="H158" s="44" t="str">
        <f t="shared" si="2"/>
        <v/>
      </c>
      <c r="I158" s="44" t="str">
        <f>IF(H158="","",INDEX(Risk_Model!$B$30:$B$33,MATCH(H158,Risk_Model!$A$30:$A$33,1)))</f>
        <v/>
      </c>
      <c r="J158" s="10"/>
      <c r="K158" s="44" t="str">
        <f>IF(B158="","",IFERROR(IF(INDEX(Assessment!$K$5:$K$2000,MATCH(B158,Assessment!$A$5:$A$2000,0))="","",INDEX(Assessment!$K$5:$K$2000,MATCH(B158,Assessment!$A$5:$A$2000,0))),""))</f>
        <v/>
      </c>
      <c r="L158" s="47" t="str">
        <f>IF(OR(H158="",K158=""),"",ROUND(H158*(1-INDEX(Risk_Model!$C$38:$C$43,MATCH(K158,Risk_Model!$A$38:$A$43,0))),1))</f>
        <v/>
      </c>
      <c r="M158" s="44" t="str">
        <f>IF(L158="","",INDEX(Risk_Model!$B$30:$B$33,MATCH(L158,Risk_Model!$A$30:$A$33,1)))</f>
        <v/>
      </c>
      <c r="N158" s="10"/>
      <c r="O158" s="14"/>
      <c r="P158" s="10"/>
      <c r="Q158" s="10"/>
    </row>
    <row r="159" spans="1:17" x14ac:dyDescent="0.35">
      <c r="A159" s="10"/>
      <c r="B159" s="10"/>
      <c r="C159" s="43" t="str">
        <f>IF(B159="","",IFERROR(INDEX(Assessment!$E$5:$E$2000,MATCH(B159,Assessment!$A$5:$A$2000,0)),"Not found"))</f>
        <v/>
      </c>
      <c r="D159" s="10"/>
      <c r="E159" s="10"/>
      <c r="F159" s="10"/>
      <c r="G159" s="10"/>
      <c r="H159" s="44" t="str">
        <f t="shared" si="2"/>
        <v/>
      </c>
      <c r="I159" s="44" t="str">
        <f>IF(H159="","",INDEX(Risk_Model!$B$30:$B$33,MATCH(H159,Risk_Model!$A$30:$A$33,1)))</f>
        <v/>
      </c>
      <c r="J159" s="10"/>
      <c r="K159" s="44" t="str">
        <f>IF(B159="","",IFERROR(IF(INDEX(Assessment!$K$5:$K$2000,MATCH(B159,Assessment!$A$5:$A$2000,0))="","",INDEX(Assessment!$K$5:$K$2000,MATCH(B159,Assessment!$A$5:$A$2000,0))),""))</f>
        <v/>
      </c>
      <c r="L159" s="47" t="str">
        <f>IF(OR(H159="",K159=""),"",ROUND(H159*(1-INDEX(Risk_Model!$C$38:$C$43,MATCH(K159,Risk_Model!$A$38:$A$43,0))),1))</f>
        <v/>
      </c>
      <c r="M159" s="44" t="str">
        <f>IF(L159="","",INDEX(Risk_Model!$B$30:$B$33,MATCH(L159,Risk_Model!$A$30:$A$33,1)))</f>
        <v/>
      </c>
      <c r="N159" s="10"/>
      <c r="O159" s="14"/>
      <c r="P159" s="10"/>
      <c r="Q159" s="10"/>
    </row>
    <row r="160" spans="1:17" x14ac:dyDescent="0.35">
      <c r="A160" s="10"/>
      <c r="B160" s="10"/>
      <c r="C160" s="43" t="str">
        <f>IF(B160="","",IFERROR(INDEX(Assessment!$E$5:$E$2000,MATCH(B160,Assessment!$A$5:$A$2000,0)),"Not found"))</f>
        <v/>
      </c>
      <c r="D160" s="10"/>
      <c r="E160" s="10"/>
      <c r="F160" s="10"/>
      <c r="G160" s="10"/>
      <c r="H160" s="44" t="str">
        <f t="shared" si="2"/>
        <v/>
      </c>
      <c r="I160" s="44" t="str">
        <f>IF(H160="","",INDEX(Risk_Model!$B$30:$B$33,MATCH(H160,Risk_Model!$A$30:$A$33,1)))</f>
        <v/>
      </c>
      <c r="J160" s="10"/>
      <c r="K160" s="44" t="str">
        <f>IF(B160="","",IFERROR(IF(INDEX(Assessment!$K$5:$K$2000,MATCH(B160,Assessment!$A$5:$A$2000,0))="","",INDEX(Assessment!$K$5:$K$2000,MATCH(B160,Assessment!$A$5:$A$2000,0))),""))</f>
        <v/>
      </c>
      <c r="L160" s="47" t="str">
        <f>IF(OR(H160="",K160=""),"",ROUND(H160*(1-INDEX(Risk_Model!$C$38:$C$43,MATCH(K160,Risk_Model!$A$38:$A$43,0))),1))</f>
        <v/>
      </c>
      <c r="M160" s="44" t="str">
        <f>IF(L160="","",INDEX(Risk_Model!$B$30:$B$33,MATCH(L160,Risk_Model!$A$30:$A$33,1)))</f>
        <v/>
      </c>
      <c r="N160" s="10"/>
      <c r="O160" s="14"/>
      <c r="P160" s="10"/>
      <c r="Q160" s="10"/>
    </row>
    <row r="161" spans="1:17" x14ac:dyDescent="0.35">
      <c r="A161" s="10"/>
      <c r="B161" s="10"/>
      <c r="C161" s="43" t="str">
        <f>IF(B161="","",IFERROR(INDEX(Assessment!$E$5:$E$2000,MATCH(B161,Assessment!$A$5:$A$2000,0)),"Not found"))</f>
        <v/>
      </c>
      <c r="D161" s="10"/>
      <c r="E161" s="10"/>
      <c r="F161" s="10"/>
      <c r="G161" s="10"/>
      <c r="H161" s="44" t="str">
        <f t="shared" si="2"/>
        <v/>
      </c>
      <c r="I161" s="44" t="str">
        <f>IF(H161="","",INDEX(Risk_Model!$B$30:$B$33,MATCH(H161,Risk_Model!$A$30:$A$33,1)))</f>
        <v/>
      </c>
      <c r="J161" s="10"/>
      <c r="K161" s="44" t="str">
        <f>IF(B161="","",IFERROR(IF(INDEX(Assessment!$K$5:$K$2000,MATCH(B161,Assessment!$A$5:$A$2000,0))="","",INDEX(Assessment!$K$5:$K$2000,MATCH(B161,Assessment!$A$5:$A$2000,0))),""))</f>
        <v/>
      </c>
      <c r="L161" s="47" t="str">
        <f>IF(OR(H161="",K161=""),"",ROUND(H161*(1-INDEX(Risk_Model!$C$38:$C$43,MATCH(K161,Risk_Model!$A$38:$A$43,0))),1))</f>
        <v/>
      </c>
      <c r="M161" s="44" t="str">
        <f>IF(L161="","",INDEX(Risk_Model!$B$30:$B$33,MATCH(L161,Risk_Model!$A$30:$A$33,1)))</f>
        <v/>
      </c>
      <c r="N161" s="10"/>
      <c r="O161" s="14"/>
      <c r="P161" s="10"/>
      <c r="Q161" s="10"/>
    </row>
    <row r="162" spans="1:17" x14ac:dyDescent="0.35">
      <c r="A162" s="10"/>
      <c r="B162" s="10"/>
      <c r="C162" s="43" t="str">
        <f>IF(B162="","",IFERROR(INDEX(Assessment!$E$5:$E$2000,MATCH(B162,Assessment!$A$5:$A$2000,0)),"Not found"))</f>
        <v/>
      </c>
      <c r="D162" s="10"/>
      <c r="E162" s="10"/>
      <c r="F162" s="10"/>
      <c r="G162" s="10"/>
      <c r="H162" s="44" t="str">
        <f t="shared" si="2"/>
        <v/>
      </c>
      <c r="I162" s="44" t="str">
        <f>IF(H162="","",INDEX(Risk_Model!$B$30:$B$33,MATCH(H162,Risk_Model!$A$30:$A$33,1)))</f>
        <v/>
      </c>
      <c r="J162" s="10"/>
      <c r="K162" s="44" t="str">
        <f>IF(B162="","",IFERROR(IF(INDEX(Assessment!$K$5:$K$2000,MATCH(B162,Assessment!$A$5:$A$2000,0))="","",INDEX(Assessment!$K$5:$K$2000,MATCH(B162,Assessment!$A$5:$A$2000,0))),""))</f>
        <v/>
      </c>
      <c r="L162" s="47" t="str">
        <f>IF(OR(H162="",K162=""),"",ROUND(H162*(1-INDEX(Risk_Model!$C$38:$C$43,MATCH(K162,Risk_Model!$A$38:$A$43,0))),1))</f>
        <v/>
      </c>
      <c r="M162" s="44" t="str">
        <f>IF(L162="","",INDEX(Risk_Model!$B$30:$B$33,MATCH(L162,Risk_Model!$A$30:$A$33,1)))</f>
        <v/>
      </c>
      <c r="N162" s="10"/>
      <c r="O162" s="14"/>
      <c r="P162" s="10"/>
      <c r="Q162" s="10"/>
    </row>
    <row r="163" spans="1:17" x14ac:dyDescent="0.35">
      <c r="A163" s="10"/>
      <c r="B163" s="10"/>
      <c r="C163" s="43" t="str">
        <f>IF(B163="","",IFERROR(INDEX(Assessment!$E$5:$E$2000,MATCH(B163,Assessment!$A$5:$A$2000,0)),"Not found"))</f>
        <v/>
      </c>
      <c r="D163" s="10"/>
      <c r="E163" s="10"/>
      <c r="F163" s="10"/>
      <c r="G163" s="10"/>
      <c r="H163" s="44" t="str">
        <f t="shared" si="2"/>
        <v/>
      </c>
      <c r="I163" s="44" t="str">
        <f>IF(H163="","",INDEX(Risk_Model!$B$30:$B$33,MATCH(H163,Risk_Model!$A$30:$A$33,1)))</f>
        <v/>
      </c>
      <c r="J163" s="10"/>
      <c r="K163" s="44" t="str">
        <f>IF(B163="","",IFERROR(IF(INDEX(Assessment!$K$5:$K$2000,MATCH(B163,Assessment!$A$5:$A$2000,0))="","",INDEX(Assessment!$K$5:$K$2000,MATCH(B163,Assessment!$A$5:$A$2000,0))),""))</f>
        <v/>
      </c>
      <c r="L163" s="47" t="str">
        <f>IF(OR(H163="",K163=""),"",ROUND(H163*(1-INDEX(Risk_Model!$C$38:$C$43,MATCH(K163,Risk_Model!$A$38:$A$43,0))),1))</f>
        <v/>
      </c>
      <c r="M163" s="44" t="str">
        <f>IF(L163="","",INDEX(Risk_Model!$B$30:$B$33,MATCH(L163,Risk_Model!$A$30:$A$33,1)))</f>
        <v/>
      </c>
      <c r="N163" s="10"/>
      <c r="O163" s="14"/>
      <c r="P163" s="10"/>
      <c r="Q163" s="10"/>
    </row>
    <row r="164" spans="1:17" x14ac:dyDescent="0.35">
      <c r="A164" s="10"/>
      <c r="B164" s="10"/>
      <c r="C164" s="43" t="str">
        <f>IF(B164="","",IFERROR(INDEX(Assessment!$E$5:$E$2000,MATCH(B164,Assessment!$A$5:$A$2000,0)),"Not found"))</f>
        <v/>
      </c>
      <c r="D164" s="10"/>
      <c r="E164" s="10"/>
      <c r="F164" s="10"/>
      <c r="G164" s="10"/>
      <c r="H164" s="44" t="str">
        <f t="shared" si="2"/>
        <v/>
      </c>
      <c r="I164" s="44" t="str">
        <f>IF(H164="","",INDEX(Risk_Model!$B$30:$B$33,MATCH(H164,Risk_Model!$A$30:$A$33,1)))</f>
        <v/>
      </c>
      <c r="J164" s="10"/>
      <c r="K164" s="44" t="str">
        <f>IF(B164="","",IFERROR(IF(INDEX(Assessment!$K$5:$K$2000,MATCH(B164,Assessment!$A$5:$A$2000,0))="","",INDEX(Assessment!$K$5:$K$2000,MATCH(B164,Assessment!$A$5:$A$2000,0))),""))</f>
        <v/>
      </c>
      <c r="L164" s="47" t="str">
        <f>IF(OR(H164="",K164=""),"",ROUND(H164*(1-INDEX(Risk_Model!$C$38:$C$43,MATCH(K164,Risk_Model!$A$38:$A$43,0))),1))</f>
        <v/>
      </c>
      <c r="M164" s="44" t="str">
        <f>IF(L164="","",INDEX(Risk_Model!$B$30:$B$33,MATCH(L164,Risk_Model!$A$30:$A$33,1)))</f>
        <v/>
      </c>
      <c r="N164" s="10"/>
      <c r="O164" s="14"/>
      <c r="P164" s="10"/>
      <c r="Q164" s="10"/>
    </row>
    <row r="165" spans="1:17" x14ac:dyDescent="0.35">
      <c r="A165" s="10"/>
      <c r="B165" s="10"/>
      <c r="C165" s="43" t="str">
        <f>IF(B165="","",IFERROR(INDEX(Assessment!$E$5:$E$2000,MATCH(B165,Assessment!$A$5:$A$2000,0)),"Not found"))</f>
        <v/>
      </c>
      <c r="D165" s="10"/>
      <c r="E165" s="10"/>
      <c r="F165" s="10"/>
      <c r="G165" s="10"/>
      <c r="H165" s="44" t="str">
        <f t="shared" si="2"/>
        <v/>
      </c>
      <c r="I165" s="44" t="str">
        <f>IF(H165="","",INDEX(Risk_Model!$B$30:$B$33,MATCH(H165,Risk_Model!$A$30:$A$33,1)))</f>
        <v/>
      </c>
      <c r="J165" s="10"/>
      <c r="K165" s="44" t="str">
        <f>IF(B165="","",IFERROR(IF(INDEX(Assessment!$K$5:$K$2000,MATCH(B165,Assessment!$A$5:$A$2000,0))="","",INDEX(Assessment!$K$5:$K$2000,MATCH(B165,Assessment!$A$5:$A$2000,0))),""))</f>
        <v/>
      </c>
      <c r="L165" s="47" t="str">
        <f>IF(OR(H165="",K165=""),"",ROUND(H165*(1-INDEX(Risk_Model!$C$38:$C$43,MATCH(K165,Risk_Model!$A$38:$A$43,0))),1))</f>
        <v/>
      </c>
      <c r="M165" s="44" t="str">
        <f>IF(L165="","",INDEX(Risk_Model!$B$30:$B$33,MATCH(L165,Risk_Model!$A$30:$A$33,1)))</f>
        <v/>
      </c>
      <c r="N165" s="10"/>
      <c r="O165" s="14"/>
      <c r="P165" s="10"/>
      <c r="Q165" s="10"/>
    </row>
    <row r="166" spans="1:17" x14ac:dyDescent="0.35">
      <c r="A166" s="10"/>
      <c r="B166" s="10"/>
      <c r="C166" s="43" t="str">
        <f>IF(B166="","",IFERROR(INDEX(Assessment!$E$5:$E$2000,MATCH(B166,Assessment!$A$5:$A$2000,0)),"Not found"))</f>
        <v/>
      </c>
      <c r="D166" s="10"/>
      <c r="E166" s="10"/>
      <c r="F166" s="10"/>
      <c r="G166" s="10"/>
      <c r="H166" s="44" t="str">
        <f t="shared" si="2"/>
        <v/>
      </c>
      <c r="I166" s="44" t="str">
        <f>IF(H166="","",INDEX(Risk_Model!$B$30:$B$33,MATCH(H166,Risk_Model!$A$30:$A$33,1)))</f>
        <v/>
      </c>
      <c r="J166" s="10"/>
      <c r="K166" s="44" t="str">
        <f>IF(B166="","",IFERROR(IF(INDEX(Assessment!$K$5:$K$2000,MATCH(B166,Assessment!$A$5:$A$2000,0))="","",INDEX(Assessment!$K$5:$K$2000,MATCH(B166,Assessment!$A$5:$A$2000,0))),""))</f>
        <v/>
      </c>
      <c r="L166" s="47" t="str">
        <f>IF(OR(H166="",K166=""),"",ROUND(H166*(1-INDEX(Risk_Model!$C$38:$C$43,MATCH(K166,Risk_Model!$A$38:$A$43,0))),1))</f>
        <v/>
      </c>
      <c r="M166" s="44" t="str">
        <f>IF(L166="","",INDEX(Risk_Model!$B$30:$B$33,MATCH(L166,Risk_Model!$A$30:$A$33,1)))</f>
        <v/>
      </c>
      <c r="N166" s="10"/>
      <c r="O166" s="14"/>
      <c r="P166" s="10"/>
      <c r="Q166" s="10"/>
    </row>
    <row r="167" spans="1:17" x14ac:dyDescent="0.35">
      <c r="A167" s="10"/>
      <c r="B167" s="10"/>
      <c r="C167" s="43" t="str">
        <f>IF(B167="","",IFERROR(INDEX(Assessment!$E$5:$E$2000,MATCH(B167,Assessment!$A$5:$A$2000,0)),"Not found"))</f>
        <v/>
      </c>
      <c r="D167" s="10"/>
      <c r="E167" s="10"/>
      <c r="F167" s="10"/>
      <c r="G167" s="10"/>
      <c r="H167" s="44" t="str">
        <f t="shared" si="2"/>
        <v/>
      </c>
      <c r="I167" s="44" t="str">
        <f>IF(H167="","",INDEX(Risk_Model!$B$30:$B$33,MATCH(H167,Risk_Model!$A$30:$A$33,1)))</f>
        <v/>
      </c>
      <c r="J167" s="10"/>
      <c r="K167" s="44" t="str">
        <f>IF(B167="","",IFERROR(IF(INDEX(Assessment!$K$5:$K$2000,MATCH(B167,Assessment!$A$5:$A$2000,0))="","",INDEX(Assessment!$K$5:$K$2000,MATCH(B167,Assessment!$A$5:$A$2000,0))),""))</f>
        <v/>
      </c>
      <c r="L167" s="47" t="str">
        <f>IF(OR(H167="",K167=""),"",ROUND(H167*(1-INDEX(Risk_Model!$C$38:$C$43,MATCH(K167,Risk_Model!$A$38:$A$43,0))),1))</f>
        <v/>
      </c>
      <c r="M167" s="44" t="str">
        <f>IF(L167="","",INDEX(Risk_Model!$B$30:$B$33,MATCH(L167,Risk_Model!$A$30:$A$33,1)))</f>
        <v/>
      </c>
      <c r="N167" s="10"/>
      <c r="O167" s="14"/>
      <c r="P167" s="10"/>
      <c r="Q167" s="10"/>
    </row>
    <row r="168" spans="1:17" x14ac:dyDescent="0.35">
      <c r="A168" s="10"/>
      <c r="B168" s="10"/>
      <c r="C168" s="43" t="str">
        <f>IF(B168="","",IFERROR(INDEX(Assessment!$E$5:$E$2000,MATCH(B168,Assessment!$A$5:$A$2000,0)),"Not found"))</f>
        <v/>
      </c>
      <c r="D168" s="10"/>
      <c r="E168" s="10"/>
      <c r="F168" s="10"/>
      <c r="G168" s="10"/>
      <c r="H168" s="44" t="str">
        <f t="shared" si="2"/>
        <v/>
      </c>
      <c r="I168" s="44" t="str">
        <f>IF(H168="","",INDEX(Risk_Model!$B$30:$B$33,MATCH(H168,Risk_Model!$A$30:$A$33,1)))</f>
        <v/>
      </c>
      <c r="J168" s="10"/>
      <c r="K168" s="44" t="str">
        <f>IF(B168="","",IFERROR(IF(INDEX(Assessment!$K$5:$K$2000,MATCH(B168,Assessment!$A$5:$A$2000,0))="","",INDEX(Assessment!$K$5:$K$2000,MATCH(B168,Assessment!$A$5:$A$2000,0))),""))</f>
        <v/>
      </c>
      <c r="L168" s="47" t="str">
        <f>IF(OR(H168="",K168=""),"",ROUND(H168*(1-INDEX(Risk_Model!$C$38:$C$43,MATCH(K168,Risk_Model!$A$38:$A$43,0))),1))</f>
        <v/>
      </c>
      <c r="M168" s="44" t="str">
        <f>IF(L168="","",INDEX(Risk_Model!$B$30:$B$33,MATCH(L168,Risk_Model!$A$30:$A$33,1)))</f>
        <v/>
      </c>
      <c r="N168" s="10"/>
      <c r="O168" s="14"/>
      <c r="P168" s="10"/>
      <c r="Q168" s="10"/>
    </row>
    <row r="169" spans="1:17" x14ac:dyDescent="0.35">
      <c r="A169" s="10"/>
      <c r="B169" s="10"/>
      <c r="C169" s="43" t="str">
        <f>IF(B169="","",IFERROR(INDEX(Assessment!$E$5:$E$2000,MATCH(B169,Assessment!$A$5:$A$2000,0)),"Not found"))</f>
        <v/>
      </c>
      <c r="D169" s="10"/>
      <c r="E169" s="10"/>
      <c r="F169" s="10"/>
      <c r="G169" s="10"/>
      <c r="H169" s="44" t="str">
        <f t="shared" si="2"/>
        <v/>
      </c>
      <c r="I169" s="44" t="str">
        <f>IF(H169="","",INDEX(Risk_Model!$B$30:$B$33,MATCH(H169,Risk_Model!$A$30:$A$33,1)))</f>
        <v/>
      </c>
      <c r="J169" s="10"/>
      <c r="K169" s="44" t="str">
        <f>IF(B169="","",IFERROR(IF(INDEX(Assessment!$K$5:$K$2000,MATCH(B169,Assessment!$A$5:$A$2000,0))="","",INDEX(Assessment!$K$5:$K$2000,MATCH(B169,Assessment!$A$5:$A$2000,0))),""))</f>
        <v/>
      </c>
      <c r="L169" s="47" t="str">
        <f>IF(OR(H169="",K169=""),"",ROUND(H169*(1-INDEX(Risk_Model!$C$38:$C$43,MATCH(K169,Risk_Model!$A$38:$A$43,0))),1))</f>
        <v/>
      </c>
      <c r="M169" s="44" t="str">
        <f>IF(L169="","",INDEX(Risk_Model!$B$30:$B$33,MATCH(L169,Risk_Model!$A$30:$A$33,1)))</f>
        <v/>
      </c>
      <c r="N169" s="10"/>
      <c r="O169" s="14"/>
      <c r="P169" s="10"/>
      <c r="Q169" s="10"/>
    </row>
    <row r="170" spans="1:17" x14ac:dyDescent="0.35">
      <c r="A170" s="10"/>
      <c r="B170" s="10"/>
      <c r="C170" s="43" t="str">
        <f>IF(B170="","",IFERROR(INDEX(Assessment!$E$5:$E$2000,MATCH(B170,Assessment!$A$5:$A$2000,0)),"Not found"))</f>
        <v/>
      </c>
      <c r="D170" s="10"/>
      <c r="E170" s="10"/>
      <c r="F170" s="10"/>
      <c r="G170" s="10"/>
      <c r="H170" s="44" t="str">
        <f t="shared" si="2"/>
        <v/>
      </c>
      <c r="I170" s="44" t="str">
        <f>IF(H170="","",INDEX(Risk_Model!$B$30:$B$33,MATCH(H170,Risk_Model!$A$30:$A$33,1)))</f>
        <v/>
      </c>
      <c r="J170" s="10"/>
      <c r="K170" s="44" t="str">
        <f>IF(B170="","",IFERROR(IF(INDEX(Assessment!$K$5:$K$2000,MATCH(B170,Assessment!$A$5:$A$2000,0))="","",INDEX(Assessment!$K$5:$K$2000,MATCH(B170,Assessment!$A$5:$A$2000,0))),""))</f>
        <v/>
      </c>
      <c r="L170" s="47" t="str">
        <f>IF(OR(H170="",K170=""),"",ROUND(H170*(1-INDEX(Risk_Model!$C$38:$C$43,MATCH(K170,Risk_Model!$A$38:$A$43,0))),1))</f>
        <v/>
      </c>
      <c r="M170" s="44" t="str">
        <f>IF(L170="","",INDEX(Risk_Model!$B$30:$B$33,MATCH(L170,Risk_Model!$A$30:$A$33,1)))</f>
        <v/>
      </c>
      <c r="N170" s="10"/>
      <c r="O170" s="14"/>
      <c r="P170" s="10"/>
      <c r="Q170" s="10"/>
    </row>
    <row r="171" spans="1:17" x14ac:dyDescent="0.35">
      <c r="A171" s="10"/>
      <c r="B171" s="10"/>
      <c r="C171" s="43" t="str">
        <f>IF(B171="","",IFERROR(INDEX(Assessment!$E$5:$E$2000,MATCH(B171,Assessment!$A$5:$A$2000,0)),"Not found"))</f>
        <v/>
      </c>
      <c r="D171" s="10"/>
      <c r="E171" s="10"/>
      <c r="F171" s="10"/>
      <c r="G171" s="10"/>
      <c r="H171" s="44" t="str">
        <f t="shared" si="2"/>
        <v/>
      </c>
      <c r="I171" s="44" t="str">
        <f>IF(H171="","",INDEX(Risk_Model!$B$30:$B$33,MATCH(H171,Risk_Model!$A$30:$A$33,1)))</f>
        <v/>
      </c>
      <c r="J171" s="10"/>
      <c r="K171" s="44" t="str">
        <f>IF(B171="","",IFERROR(IF(INDEX(Assessment!$K$5:$K$2000,MATCH(B171,Assessment!$A$5:$A$2000,0))="","",INDEX(Assessment!$K$5:$K$2000,MATCH(B171,Assessment!$A$5:$A$2000,0))),""))</f>
        <v/>
      </c>
      <c r="L171" s="47" t="str">
        <f>IF(OR(H171="",K171=""),"",ROUND(H171*(1-INDEX(Risk_Model!$C$38:$C$43,MATCH(K171,Risk_Model!$A$38:$A$43,0))),1))</f>
        <v/>
      </c>
      <c r="M171" s="44" t="str">
        <f>IF(L171="","",INDEX(Risk_Model!$B$30:$B$33,MATCH(L171,Risk_Model!$A$30:$A$33,1)))</f>
        <v/>
      </c>
      <c r="N171" s="10"/>
      <c r="O171" s="14"/>
      <c r="P171" s="10"/>
      <c r="Q171" s="10"/>
    </row>
    <row r="172" spans="1:17" x14ac:dyDescent="0.35">
      <c r="A172" s="10"/>
      <c r="B172" s="10"/>
      <c r="C172" s="43" t="str">
        <f>IF(B172="","",IFERROR(INDEX(Assessment!$E$5:$E$2000,MATCH(B172,Assessment!$A$5:$A$2000,0)),"Not found"))</f>
        <v/>
      </c>
      <c r="D172" s="10"/>
      <c r="E172" s="10"/>
      <c r="F172" s="10"/>
      <c r="G172" s="10"/>
      <c r="H172" s="44" t="str">
        <f t="shared" si="2"/>
        <v/>
      </c>
      <c r="I172" s="44" t="str">
        <f>IF(H172="","",INDEX(Risk_Model!$B$30:$B$33,MATCH(H172,Risk_Model!$A$30:$A$33,1)))</f>
        <v/>
      </c>
      <c r="J172" s="10"/>
      <c r="K172" s="44" t="str">
        <f>IF(B172="","",IFERROR(IF(INDEX(Assessment!$K$5:$K$2000,MATCH(B172,Assessment!$A$5:$A$2000,0))="","",INDEX(Assessment!$K$5:$K$2000,MATCH(B172,Assessment!$A$5:$A$2000,0))),""))</f>
        <v/>
      </c>
      <c r="L172" s="47" t="str">
        <f>IF(OR(H172="",K172=""),"",ROUND(H172*(1-INDEX(Risk_Model!$C$38:$C$43,MATCH(K172,Risk_Model!$A$38:$A$43,0))),1))</f>
        <v/>
      </c>
      <c r="M172" s="44" t="str">
        <f>IF(L172="","",INDEX(Risk_Model!$B$30:$B$33,MATCH(L172,Risk_Model!$A$30:$A$33,1)))</f>
        <v/>
      </c>
      <c r="N172" s="10"/>
      <c r="O172" s="14"/>
      <c r="P172" s="10"/>
      <c r="Q172" s="10"/>
    </row>
    <row r="173" spans="1:17" x14ac:dyDescent="0.35">
      <c r="A173" s="10"/>
      <c r="B173" s="10"/>
      <c r="C173" s="43" t="str">
        <f>IF(B173="","",IFERROR(INDEX(Assessment!$E$5:$E$2000,MATCH(B173,Assessment!$A$5:$A$2000,0)),"Not found"))</f>
        <v/>
      </c>
      <c r="D173" s="10"/>
      <c r="E173" s="10"/>
      <c r="F173" s="10"/>
      <c r="G173" s="10"/>
      <c r="H173" s="44" t="str">
        <f t="shared" si="2"/>
        <v/>
      </c>
      <c r="I173" s="44" t="str">
        <f>IF(H173="","",INDEX(Risk_Model!$B$30:$B$33,MATCH(H173,Risk_Model!$A$30:$A$33,1)))</f>
        <v/>
      </c>
      <c r="J173" s="10"/>
      <c r="K173" s="44" t="str">
        <f>IF(B173="","",IFERROR(IF(INDEX(Assessment!$K$5:$K$2000,MATCH(B173,Assessment!$A$5:$A$2000,0))="","",INDEX(Assessment!$K$5:$K$2000,MATCH(B173,Assessment!$A$5:$A$2000,0))),""))</f>
        <v/>
      </c>
      <c r="L173" s="47" t="str">
        <f>IF(OR(H173="",K173=""),"",ROUND(H173*(1-INDEX(Risk_Model!$C$38:$C$43,MATCH(K173,Risk_Model!$A$38:$A$43,0))),1))</f>
        <v/>
      </c>
      <c r="M173" s="44" t="str">
        <f>IF(L173="","",INDEX(Risk_Model!$B$30:$B$33,MATCH(L173,Risk_Model!$A$30:$A$33,1)))</f>
        <v/>
      </c>
      <c r="N173" s="10"/>
      <c r="O173" s="14"/>
      <c r="P173" s="10"/>
      <c r="Q173" s="10"/>
    </row>
    <row r="174" spans="1:17" x14ac:dyDescent="0.35">
      <c r="A174" s="10"/>
      <c r="B174" s="10"/>
      <c r="C174" s="43" t="str">
        <f>IF(B174="","",IFERROR(INDEX(Assessment!$E$5:$E$2000,MATCH(B174,Assessment!$A$5:$A$2000,0)),"Not found"))</f>
        <v/>
      </c>
      <c r="D174" s="10"/>
      <c r="E174" s="10"/>
      <c r="F174" s="10"/>
      <c r="G174" s="10"/>
      <c r="H174" s="44" t="str">
        <f t="shared" si="2"/>
        <v/>
      </c>
      <c r="I174" s="44" t="str">
        <f>IF(H174="","",INDEX(Risk_Model!$B$30:$B$33,MATCH(H174,Risk_Model!$A$30:$A$33,1)))</f>
        <v/>
      </c>
      <c r="J174" s="10"/>
      <c r="K174" s="44" t="str">
        <f>IF(B174="","",IFERROR(IF(INDEX(Assessment!$K$5:$K$2000,MATCH(B174,Assessment!$A$5:$A$2000,0))="","",INDEX(Assessment!$K$5:$K$2000,MATCH(B174,Assessment!$A$5:$A$2000,0))),""))</f>
        <v/>
      </c>
      <c r="L174" s="47" t="str">
        <f>IF(OR(H174="",K174=""),"",ROUND(H174*(1-INDEX(Risk_Model!$C$38:$C$43,MATCH(K174,Risk_Model!$A$38:$A$43,0))),1))</f>
        <v/>
      </c>
      <c r="M174" s="44" t="str">
        <f>IF(L174="","",INDEX(Risk_Model!$B$30:$B$33,MATCH(L174,Risk_Model!$A$30:$A$33,1)))</f>
        <v/>
      </c>
      <c r="N174" s="10"/>
      <c r="O174" s="14"/>
      <c r="P174" s="10"/>
      <c r="Q174" s="10"/>
    </row>
    <row r="175" spans="1:17" x14ac:dyDescent="0.35">
      <c r="A175" s="10"/>
      <c r="B175" s="10"/>
      <c r="C175" s="43" t="str">
        <f>IF(B175="","",IFERROR(INDEX(Assessment!$E$5:$E$2000,MATCH(B175,Assessment!$A$5:$A$2000,0)),"Not found"))</f>
        <v/>
      </c>
      <c r="D175" s="10"/>
      <c r="E175" s="10"/>
      <c r="F175" s="10"/>
      <c r="G175" s="10"/>
      <c r="H175" s="44" t="str">
        <f t="shared" si="2"/>
        <v/>
      </c>
      <c r="I175" s="44" t="str">
        <f>IF(H175="","",INDEX(Risk_Model!$B$30:$B$33,MATCH(H175,Risk_Model!$A$30:$A$33,1)))</f>
        <v/>
      </c>
      <c r="J175" s="10"/>
      <c r="K175" s="44" t="str">
        <f>IF(B175="","",IFERROR(IF(INDEX(Assessment!$K$5:$K$2000,MATCH(B175,Assessment!$A$5:$A$2000,0))="","",INDEX(Assessment!$K$5:$K$2000,MATCH(B175,Assessment!$A$5:$A$2000,0))),""))</f>
        <v/>
      </c>
      <c r="L175" s="47" t="str">
        <f>IF(OR(H175="",K175=""),"",ROUND(H175*(1-INDEX(Risk_Model!$C$38:$C$43,MATCH(K175,Risk_Model!$A$38:$A$43,0))),1))</f>
        <v/>
      </c>
      <c r="M175" s="44" t="str">
        <f>IF(L175="","",INDEX(Risk_Model!$B$30:$B$33,MATCH(L175,Risk_Model!$A$30:$A$33,1)))</f>
        <v/>
      </c>
      <c r="N175" s="10"/>
      <c r="O175" s="14"/>
      <c r="P175" s="10"/>
      <c r="Q175" s="10"/>
    </row>
    <row r="176" spans="1:17" x14ac:dyDescent="0.35">
      <c r="A176" s="10"/>
      <c r="B176" s="10"/>
      <c r="C176" s="43" t="str">
        <f>IF(B176="","",IFERROR(INDEX(Assessment!$E$5:$E$2000,MATCH(B176,Assessment!$A$5:$A$2000,0)),"Not found"))</f>
        <v/>
      </c>
      <c r="D176" s="10"/>
      <c r="E176" s="10"/>
      <c r="F176" s="10"/>
      <c r="G176" s="10"/>
      <c r="H176" s="44" t="str">
        <f t="shared" si="2"/>
        <v/>
      </c>
      <c r="I176" s="44" t="str">
        <f>IF(H176="","",INDEX(Risk_Model!$B$30:$B$33,MATCH(H176,Risk_Model!$A$30:$A$33,1)))</f>
        <v/>
      </c>
      <c r="J176" s="10"/>
      <c r="K176" s="44" t="str">
        <f>IF(B176="","",IFERROR(IF(INDEX(Assessment!$K$5:$K$2000,MATCH(B176,Assessment!$A$5:$A$2000,0))="","",INDEX(Assessment!$K$5:$K$2000,MATCH(B176,Assessment!$A$5:$A$2000,0))),""))</f>
        <v/>
      </c>
      <c r="L176" s="47" t="str">
        <f>IF(OR(H176="",K176=""),"",ROUND(H176*(1-INDEX(Risk_Model!$C$38:$C$43,MATCH(K176,Risk_Model!$A$38:$A$43,0))),1))</f>
        <v/>
      </c>
      <c r="M176" s="44" t="str">
        <f>IF(L176="","",INDEX(Risk_Model!$B$30:$B$33,MATCH(L176,Risk_Model!$A$30:$A$33,1)))</f>
        <v/>
      </c>
      <c r="N176" s="10"/>
      <c r="O176" s="14"/>
      <c r="P176" s="10"/>
      <c r="Q176" s="10"/>
    </row>
    <row r="177" spans="1:17" x14ac:dyDescent="0.35">
      <c r="A177" s="10"/>
      <c r="B177" s="10"/>
      <c r="C177" s="43" t="str">
        <f>IF(B177="","",IFERROR(INDEX(Assessment!$E$5:$E$2000,MATCH(B177,Assessment!$A$5:$A$2000,0)),"Not found"))</f>
        <v/>
      </c>
      <c r="D177" s="10"/>
      <c r="E177" s="10"/>
      <c r="F177" s="10"/>
      <c r="G177" s="10"/>
      <c r="H177" s="44" t="str">
        <f t="shared" si="2"/>
        <v/>
      </c>
      <c r="I177" s="44" t="str">
        <f>IF(H177="","",INDEX(Risk_Model!$B$30:$B$33,MATCH(H177,Risk_Model!$A$30:$A$33,1)))</f>
        <v/>
      </c>
      <c r="J177" s="10"/>
      <c r="K177" s="44" t="str">
        <f>IF(B177="","",IFERROR(IF(INDEX(Assessment!$K$5:$K$2000,MATCH(B177,Assessment!$A$5:$A$2000,0))="","",INDEX(Assessment!$K$5:$K$2000,MATCH(B177,Assessment!$A$5:$A$2000,0))),""))</f>
        <v/>
      </c>
      <c r="L177" s="47" t="str">
        <f>IF(OR(H177="",K177=""),"",ROUND(H177*(1-INDEX(Risk_Model!$C$38:$C$43,MATCH(K177,Risk_Model!$A$38:$A$43,0))),1))</f>
        <v/>
      </c>
      <c r="M177" s="44" t="str">
        <f>IF(L177="","",INDEX(Risk_Model!$B$30:$B$33,MATCH(L177,Risk_Model!$A$30:$A$33,1)))</f>
        <v/>
      </c>
      <c r="N177" s="10"/>
      <c r="O177" s="14"/>
      <c r="P177" s="10"/>
      <c r="Q177" s="10"/>
    </row>
    <row r="178" spans="1:17" x14ac:dyDescent="0.35">
      <c r="A178" s="10"/>
      <c r="B178" s="10"/>
      <c r="C178" s="43" t="str">
        <f>IF(B178="","",IFERROR(INDEX(Assessment!$E$5:$E$2000,MATCH(B178,Assessment!$A$5:$A$2000,0)),"Not found"))</f>
        <v/>
      </c>
      <c r="D178" s="10"/>
      <c r="E178" s="10"/>
      <c r="F178" s="10"/>
      <c r="G178" s="10"/>
      <c r="H178" s="44" t="str">
        <f t="shared" si="2"/>
        <v/>
      </c>
      <c r="I178" s="44" t="str">
        <f>IF(H178="","",INDEX(Risk_Model!$B$30:$B$33,MATCH(H178,Risk_Model!$A$30:$A$33,1)))</f>
        <v/>
      </c>
      <c r="J178" s="10"/>
      <c r="K178" s="44" t="str">
        <f>IF(B178="","",IFERROR(IF(INDEX(Assessment!$K$5:$K$2000,MATCH(B178,Assessment!$A$5:$A$2000,0))="","",INDEX(Assessment!$K$5:$K$2000,MATCH(B178,Assessment!$A$5:$A$2000,0))),""))</f>
        <v/>
      </c>
      <c r="L178" s="47" t="str">
        <f>IF(OR(H178="",K178=""),"",ROUND(H178*(1-INDEX(Risk_Model!$C$38:$C$43,MATCH(K178,Risk_Model!$A$38:$A$43,0))),1))</f>
        <v/>
      </c>
      <c r="M178" s="44" t="str">
        <f>IF(L178="","",INDEX(Risk_Model!$B$30:$B$33,MATCH(L178,Risk_Model!$A$30:$A$33,1)))</f>
        <v/>
      </c>
      <c r="N178" s="10"/>
      <c r="O178" s="14"/>
      <c r="P178" s="10"/>
      <c r="Q178" s="10"/>
    </row>
    <row r="179" spans="1:17" x14ac:dyDescent="0.35">
      <c r="A179" s="10"/>
      <c r="B179" s="10"/>
      <c r="C179" s="43" t="str">
        <f>IF(B179="","",IFERROR(INDEX(Assessment!$E$5:$E$2000,MATCH(B179,Assessment!$A$5:$A$2000,0)),"Not found"))</f>
        <v/>
      </c>
      <c r="D179" s="10"/>
      <c r="E179" s="10"/>
      <c r="F179" s="10"/>
      <c r="G179" s="10"/>
      <c r="H179" s="44" t="str">
        <f t="shared" si="2"/>
        <v/>
      </c>
      <c r="I179" s="44" t="str">
        <f>IF(H179="","",INDEX(Risk_Model!$B$30:$B$33,MATCH(H179,Risk_Model!$A$30:$A$33,1)))</f>
        <v/>
      </c>
      <c r="J179" s="10"/>
      <c r="K179" s="44" t="str">
        <f>IF(B179="","",IFERROR(IF(INDEX(Assessment!$K$5:$K$2000,MATCH(B179,Assessment!$A$5:$A$2000,0))="","",INDEX(Assessment!$K$5:$K$2000,MATCH(B179,Assessment!$A$5:$A$2000,0))),""))</f>
        <v/>
      </c>
      <c r="L179" s="47" t="str">
        <f>IF(OR(H179="",K179=""),"",ROUND(H179*(1-INDEX(Risk_Model!$C$38:$C$43,MATCH(K179,Risk_Model!$A$38:$A$43,0))),1))</f>
        <v/>
      </c>
      <c r="M179" s="44" t="str">
        <f>IF(L179="","",INDEX(Risk_Model!$B$30:$B$33,MATCH(L179,Risk_Model!$A$30:$A$33,1)))</f>
        <v/>
      </c>
      <c r="N179" s="10"/>
      <c r="O179" s="14"/>
      <c r="P179" s="10"/>
      <c r="Q179" s="10"/>
    </row>
    <row r="180" spans="1:17" x14ac:dyDescent="0.35">
      <c r="A180" s="10"/>
      <c r="B180" s="10"/>
      <c r="C180" s="43" t="str">
        <f>IF(B180="","",IFERROR(INDEX(Assessment!$E$5:$E$2000,MATCH(B180,Assessment!$A$5:$A$2000,0)),"Not found"))</f>
        <v/>
      </c>
      <c r="D180" s="10"/>
      <c r="E180" s="10"/>
      <c r="F180" s="10"/>
      <c r="G180" s="10"/>
      <c r="H180" s="44" t="str">
        <f t="shared" si="2"/>
        <v/>
      </c>
      <c r="I180" s="44" t="str">
        <f>IF(H180="","",INDEX(Risk_Model!$B$30:$B$33,MATCH(H180,Risk_Model!$A$30:$A$33,1)))</f>
        <v/>
      </c>
      <c r="J180" s="10"/>
      <c r="K180" s="44" t="str">
        <f>IF(B180="","",IFERROR(IF(INDEX(Assessment!$K$5:$K$2000,MATCH(B180,Assessment!$A$5:$A$2000,0))="","",INDEX(Assessment!$K$5:$K$2000,MATCH(B180,Assessment!$A$5:$A$2000,0))),""))</f>
        <v/>
      </c>
      <c r="L180" s="47" t="str">
        <f>IF(OR(H180="",K180=""),"",ROUND(H180*(1-INDEX(Risk_Model!$C$38:$C$43,MATCH(K180,Risk_Model!$A$38:$A$43,0))),1))</f>
        <v/>
      </c>
      <c r="M180" s="44" t="str">
        <f>IF(L180="","",INDEX(Risk_Model!$B$30:$B$33,MATCH(L180,Risk_Model!$A$30:$A$33,1)))</f>
        <v/>
      </c>
      <c r="N180" s="10"/>
      <c r="O180" s="14"/>
      <c r="P180" s="10"/>
      <c r="Q180" s="10"/>
    </row>
    <row r="181" spans="1:17" x14ac:dyDescent="0.35">
      <c r="A181" s="10"/>
      <c r="B181" s="10"/>
      <c r="C181" s="43" t="str">
        <f>IF(B181="","",IFERROR(INDEX(Assessment!$E$5:$E$2000,MATCH(B181,Assessment!$A$5:$A$2000,0)),"Not found"))</f>
        <v/>
      </c>
      <c r="D181" s="10"/>
      <c r="E181" s="10"/>
      <c r="F181" s="10"/>
      <c r="G181" s="10"/>
      <c r="H181" s="44" t="str">
        <f t="shared" si="2"/>
        <v/>
      </c>
      <c r="I181" s="44" t="str">
        <f>IF(H181="","",INDEX(Risk_Model!$B$30:$B$33,MATCH(H181,Risk_Model!$A$30:$A$33,1)))</f>
        <v/>
      </c>
      <c r="J181" s="10"/>
      <c r="K181" s="44" t="str">
        <f>IF(B181="","",IFERROR(IF(INDEX(Assessment!$K$5:$K$2000,MATCH(B181,Assessment!$A$5:$A$2000,0))="","",INDEX(Assessment!$K$5:$K$2000,MATCH(B181,Assessment!$A$5:$A$2000,0))),""))</f>
        <v/>
      </c>
      <c r="L181" s="47" t="str">
        <f>IF(OR(H181="",K181=""),"",ROUND(H181*(1-INDEX(Risk_Model!$C$38:$C$43,MATCH(K181,Risk_Model!$A$38:$A$43,0))),1))</f>
        <v/>
      </c>
      <c r="M181" s="44" t="str">
        <f>IF(L181="","",INDEX(Risk_Model!$B$30:$B$33,MATCH(L181,Risk_Model!$A$30:$A$33,1)))</f>
        <v/>
      </c>
      <c r="N181" s="10"/>
      <c r="O181" s="14"/>
      <c r="P181" s="10"/>
      <c r="Q181" s="10"/>
    </row>
    <row r="182" spans="1:17" x14ac:dyDescent="0.35">
      <c r="A182" s="10"/>
      <c r="B182" s="10"/>
      <c r="C182" s="43" t="str">
        <f>IF(B182="","",IFERROR(INDEX(Assessment!$E$5:$E$2000,MATCH(B182,Assessment!$A$5:$A$2000,0)),"Not found"))</f>
        <v/>
      </c>
      <c r="D182" s="10"/>
      <c r="E182" s="10"/>
      <c r="F182" s="10"/>
      <c r="G182" s="10"/>
      <c r="H182" s="44" t="str">
        <f t="shared" si="2"/>
        <v/>
      </c>
      <c r="I182" s="44" t="str">
        <f>IF(H182="","",INDEX(Risk_Model!$B$30:$B$33,MATCH(H182,Risk_Model!$A$30:$A$33,1)))</f>
        <v/>
      </c>
      <c r="J182" s="10"/>
      <c r="K182" s="44" t="str">
        <f>IF(B182="","",IFERROR(IF(INDEX(Assessment!$K$5:$K$2000,MATCH(B182,Assessment!$A$5:$A$2000,0))="","",INDEX(Assessment!$K$5:$K$2000,MATCH(B182,Assessment!$A$5:$A$2000,0))),""))</f>
        <v/>
      </c>
      <c r="L182" s="47" t="str">
        <f>IF(OR(H182="",K182=""),"",ROUND(H182*(1-INDEX(Risk_Model!$C$38:$C$43,MATCH(K182,Risk_Model!$A$38:$A$43,0))),1))</f>
        <v/>
      </c>
      <c r="M182" s="44" t="str">
        <f>IF(L182="","",INDEX(Risk_Model!$B$30:$B$33,MATCH(L182,Risk_Model!$A$30:$A$33,1)))</f>
        <v/>
      </c>
      <c r="N182" s="10"/>
      <c r="O182" s="14"/>
      <c r="P182" s="10"/>
      <c r="Q182" s="10"/>
    </row>
    <row r="183" spans="1:17" x14ac:dyDescent="0.35">
      <c r="A183" s="10"/>
      <c r="B183" s="10"/>
      <c r="C183" s="43" t="str">
        <f>IF(B183="","",IFERROR(INDEX(Assessment!$E$5:$E$2000,MATCH(B183,Assessment!$A$5:$A$2000,0)),"Not found"))</f>
        <v/>
      </c>
      <c r="D183" s="10"/>
      <c r="E183" s="10"/>
      <c r="F183" s="10"/>
      <c r="G183" s="10"/>
      <c r="H183" s="44" t="str">
        <f t="shared" si="2"/>
        <v/>
      </c>
      <c r="I183" s="44" t="str">
        <f>IF(H183="","",INDEX(Risk_Model!$B$30:$B$33,MATCH(H183,Risk_Model!$A$30:$A$33,1)))</f>
        <v/>
      </c>
      <c r="J183" s="10"/>
      <c r="K183" s="44" t="str">
        <f>IF(B183="","",IFERROR(IF(INDEX(Assessment!$K$5:$K$2000,MATCH(B183,Assessment!$A$5:$A$2000,0))="","",INDEX(Assessment!$K$5:$K$2000,MATCH(B183,Assessment!$A$5:$A$2000,0))),""))</f>
        <v/>
      </c>
      <c r="L183" s="47" t="str">
        <f>IF(OR(H183="",K183=""),"",ROUND(H183*(1-INDEX(Risk_Model!$C$38:$C$43,MATCH(K183,Risk_Model!$A$38:$A$43,0))),1))</f>
        <v/>
      </c>
      <c r="M183" s="44" t="str">
        <f>IF(L183="","",INDEX(Risk_Model!$B$30:$B$33,MATCH(L183,Risk_Model!$A$30:$A$33,1)))</f>
        <v/>
      </c>
      <c r="N183" s="10"/>
      <c r="O183" s="14"/>
      <c r="P183" s="10"/>
      <c r="Q183" s="10"/>
    </row>
    <row r="184" spans="1:17" x14ac:dyDescent="0.35">
      <c r="A184" s="10"/>
      <c r="B184" s="10"/>
      <c r="C184" s="43" t="str">
        <f>IF(B184="","",IFERROR(INDEX(Assessment!$E$5:$E$2000,MATCH(B184,Assessment!$A$5:$A$2000,0)),"Not found"))</f>
        <v/>
      </c>
      <c r="D184" s="10"/>
      <c r="E184" s="10"/>
      <c r="F184" s="10"/>
      <c r="G184" s="10"/>
      <c r="H184" s="44" t="str">
        <f t="shared" si="2"/>
        <v/>
      </c>
      <c r="I184" s="44" t="str">
        <f>IF(H184="","",INDEX(Risk_Model!$B$30:$B$33,MATCH(H184,Risk_Model!$A$30:$A$33,1)))</f>
        <v/>
      </c>
      <c r="J184" s="10"/>
      <c r="K184" s="44" t="str">
        <f>IF(B184="","",IFERROR(IF(INDEX(Assessment!$K$5:$K$2000,MATCH(B184,Assessment!$A$5:$A$2000,0))="","",INDEX(Assessment!$K$5:$K$2000,MATCH(B184,Assessment!$A$5:$A$2000,0))),""))</f>
        <v/>
      </c>
      <c r="L184" s="47" t="str">
        <f>IF(OR(H184="",K184=""),"",ROUND(H184*(1-INDEX(Risk_Model!$C$38:$C$43,MATCH(K184,Risk_Model!$A$38:$A$43,0))),1))</f>
        <v/>
      </c>
      <c r="M184" s="44" t="str">
        <f>IF(L184="","",INDEX(Risk_Model!$B$30:$B$33,MATCH(L184,Risk_Model!$A$30:$A$33,1)))</f>
        <v/>
      </c>
      <c r="N184" s="10"/>
      <c r="O184" s="14"/>
      <c r="P184" s="10"/>
      <c r="Q184" s="10"/>
    </row>
    <row r="185" spans="1:17" x14ac:dyDescent="0.35">
      <c r="A185" s="10"/>
      <c r="B185" s="10"/>
      <c r="C185" s="43" t="str">
        <f>IF(B185="","",IFERROR(INDEX(Assessment!$E$5:$E$2000,MATCH(B185,Assessment!$A$5:$A$2000,0)),"Not found"))</f>
        <v/>
      </c>
      <c r="D185" s="10"/>
      <c r="E185" s="10"/>
      <c r="F185" s="10"/>
      <c r="G185" s="10"/>
      <c r="H185" s="44" t="str">
        <f t="shared" si="2"/>
        <v/>
      </c>
      <c r="I185" s="44" t="str">
        <f>IF(H185="","",INDEX(Risk_Model!$B$30:$B$33,MATCH(H185,Risk_Model!$A$30:$A$33,1)))</f>
        <v/>
      </c>
      <c r="J185" s="10"/>
      <c r="K185" s="44" t="str">
        <f>IF(B185="","",IFERROR(IF(INDEX(Assessment!$K$5:$K$2000,MATCH(B185,Assessment!$A$5:$A$2000,0))="","",INDEX(Assessment!$K$5:$K$2000,MATCH(B185,Assessment!$A$5:$A$2000,0))),""))</f>
        <v/>
      </c>
      <c r="L185" s="47" t="str">
        <f>IF(OR(H185="",K185=""),"",ROUND(H185*(1-INDEX(Risk_Model!$C$38:$C$43,MATCH(K185,Risk_Model!$A$38:$A$43,0))),1))</f>
        <v/>
      </c>
      <c r="M185" s="44" t="str">
        <f>IF(L185="","",INDEX(Risk_Model!$B$30:$B$33,MATCH(L185,Risk_Model!$A$30:$A$33,1)))</f>
        <v/>
      </c>
      <c r="N185" s="10"/>
      <c r="O185" s="14"/>
      <c r="P185" s="10"/>
      <c r="Q185" s="10"/>
    </row>
    <row r="186" spans="1:17" x14ac:dyDescent="0.35">
      <c r="A186" s="10"/>
      <c r="B186" s="10"/>
      <c r="C186" s="43" t="str">
        <f>IF(B186="","",IFERROR(INDEX(Assessment!$E$5:$E$2000,MATCH(B186,Assessment!$A$5:$A$2000,0)),"Not found"))</f>
        <v/>
      </c>
      <c r="D186" s="10"/>
      <c r="E186" s="10"/>
      <c r="F186" s="10"/>
      <c r="G186" s="10"/>
      <c r="H186" s="44" t="str">
        <f t="shared" si="2"/>
        <v/>
      </c>
      <c r="I186" s="44" t="str">
        <f>IF(H186="","",INDEX(Risk_Model!$B$30:$B$33,MATCH(H186,Risk_Model!$A$30:$A$33,1)))</f>
        <v/>
      </c>
      <c r="J186" s="10"/>
      <c r="K186" s="44" t="str">
        <f>IF(B186="","",IFERROR(IF(INDEX(Assessment!$K$5:$K$2000,MATCH(B186,Assessment!$A$5:$A$2000,0))="","",INDEX(Assessment!$K$5:$K$2000,MATCH(B186,Assessment!$A$5:$A$2000,0))),""))</f>
        <v/>
      </c>
      <c r="L186" s="47" t="str">
        <f>IF(OR(H186="",K186=""),"",ROUND(H186*(1-INDEX(Risk_Model!$C$38:$C$43,MATCH(K186,Risk_Model!$A$38:$A$43,0))),1))</f>
        <v/>
      </c>
      <c r="M186" s="44" t="str">
        <f>IF(L186="","",INDEX(Risk_Model!$B$30:$B$33,MATCH(L186,Risk_Model!$A$30:$A$33,1)))</f>
        <v/>
      </c>
      <c r="N186" s="10"/>
      <c r="O186" s="14"/>
      <c r="P186" s="10"/>
      <c r="Q186" s="10"/>
    </row>
    <row r="187" spans="1:17" x14ac:dyDescent="0.35">
      <c r="A187" s="10"/>
      <c r="B187" s="10"/>
      <c r="C187" s="43" t="str">
        <f>IF(B187="","",IFERROR(INDEX(Assessment!$E$5:$E$2000,MATCH(B187,Assessment!$A$5:$A$2000,0)),"Not found"))</f>
        <v/>
      </c>
      <c r="D187" s="10"/>
      <c r="E187" s="10"/>
      <c r="F187" s="10"/>
      <c r="G187" s="10"/>
      <c r="H187" s="44" t="str">
        <f t="shared" si="2"/>
        <v/>
      </c>
      <c r="I187" s="44" t="str">
        <f>IF(H187="","",INDEX(Risk_Model!$B$30:$B$33,MATCH(H187,Risk_Model!$A$30:$A$33,1)))</f>
        <v/>
      </c>
      <c r="J187" s="10"/>
      <c r="K187" s="44" t="str">
        <f>IF(B187="","",IFERROR(IF(INDEX(Assessment!$K$5:$K$2000,MATCH(B187,Assessment!$A$5:$A$2000,0))="","",INDEX(Assessment!$K$5:$K$2000,MATCH(B187,Assessment!$A$5:$A$2000,0))),""))</f>
        <v/>
      </c>
      <c r="L187" s="47" t="str">
        <f>IF(OR(H187="",K187=""),"",ROUND(H187*(1-INDEX(Risk_Model!$C$38:$C$43,MATCH(K187,Risk_Model!$A$38:$A$43,0))),1))</f>
        <v/>
      </c>
      <c r="M187" s="44" t="str">
        <f>IF(L187="","",INDEX(Risk_Model!$B$30:$B$33,MATCH(L187,Risk_Model!$A$30:$A$33,1)))</f>
        <v/>
      </c>
      <c r="N187" s="10"/>
      <c r="O187" s="14"/>
      <c r="P187" s="10"/>
      <c r="Q187" s="10"/>
    </row>
    <row r="188" spans="1:17" x14ac:dyDescent="0.35">
      <c r="A188" s="10"/>
      <c r="B188" s="10"/>
      <c r="C188" s="43" t="str">
        <f>IF(B188="","",IFERROR(INDEX(Assessment!$E$5:$E$2000,MATCH(B188,Assessment!$A$5:$A$2000,0)),"Not found"))</f>
        <v/>
      </c>
      <c r="D188" s="10"/>
      <c r="E188" s="10"/>
      <c r="F188" s="10"/>
      <c r="G188" s="10"/>
      <c r="H188" s="44" t="str">
        <f t="shared" si="2"/>
        <v/>
      </c>
      <c r="I188" s="44" t="str">
        <f>IF(H188="","",INDEX(Risk_Model!$B$30:$B$33,MATCH(H188,Risk_Model!$A$30:$A$33,1)))</f>
        <v/>
      </c>
      <c r="J188" s="10"/>
      <c r="K188" s="44" t="str">
        <f>IF(B188="","",IFERROR(IF(INDEX(Assessment!$K$5:$K$2000,MATCH(B188,Assessment!$A$5:$A$2000,0))="","",INDEX(Assessment!$K$5:$K$2000,MATCH(B188,Assessment!$A$5:$A$2000,0))),""))</f>
        <v/>
      </c>
      <c r="L188" s="47" t="str">
        <f>IF(OR(H188="",K188=""),"",ROUND(H188*(1-INDEX(Risk_Model!$C$38:$C$43,MATCH(K188,Risk_Model!$A$38:$A$43,0))),1))</f>
        <v/>
      </c>
      <c r="M188" s="44" t="str">
        <f>IF(L188="","",INDEX(Risk_Model!$B$30:$B$33,MATCH(L188,Risk_Model!$A$30:$A$33,1)))</f>
        <v/>
      </c>
      <c r="N188" s="10"/>
      <c r="O188" s="14"/>
      <c r="P188" s="10"/>
      <c r="Q188" s="10"/>
    </row>
    <row r="189" spans="1:17" x14ac:dyDescent="0.35">
      <c r="A189" s="10"/>
      <c r="B189" s="10"/>
      <c r="C189" s="43" t="str">
        <f>IF(B189="","",IFERROR(INDEX(Assessment!$E$5:$E$2000,MATCH(B189,Assessment!$A$5:$A$2000,0)),"Not found"))</f>
        <v/>
      </c>
      <c r="D189" s="10"/>
      <c r="E189" s="10"/>
      <c r="F189" s="10"/>
      <c r="G189" s="10"/>
      <c r="H189" s="44" t="str">
        <f t="shared" si="2"/>
        <v/>
      </c>
      <c r="I189" s="44" t="str">
        <f>IF(H189="","",INDEX(Risk_Model!$B$30:$B$33,MATCH(H189,Risk_Model!$A$30:$A$33,1)))</f>
        <v/>
      </c>
      <c r="J189" s="10"/>
      <c r="K189" s="44" t="str">
        <f>IF(B189="","",IFERROR(IF(INDEX(Assessment!$K$5:$K$2000,MATCH(B189,Assessment!$A$5:$A$2000,0))="","",INDEX(Assessment!$K$5:$K$2000,MATCH(B189,Assessment!$A$5:$A$2000,0))),""))</f>
        <v/>
      </c>
      <c r="L189" s="47" t="str">
        <f>IF(OR(H189="",K189=""),"",ROUND(H189*(1-INDEX(Risk_Model!$C$38:$C$43,MATCH(K189,Risk_Model!$A$38:$A$43,0))),1))</f>
        <v/>
      </c>
      <c r="M189" s="44" t="str">
        <f>IF(L189="","",INDEX(Risk_Model!$B$30:$B$33,MATCH(L189,Risk_Model!$A$30:$A$33,1)))</f>
        <v/>
      </c>
      <c r="N189" s="10"/>
      <c r="O189" s="14"/>
      <c r="P189" s="10"/>
      <c r="Q189" s="10"/>
    </row>
    <row r="190" spans="1:17" x14ac:dyDescent="0.35">
      <c r="A190" s="10"/>
      <c r="B190" s="10"/>
      <c r="C190" s="43" t="str">
        <f>IF(B190="","",IFERROR(INDEX(Assessment!$E$5:$E$2000,MATCH(B190,Assessment!$A$5:$A$2000,0)),"Not found"))</f>
        <v/>
      </c>
      <c r="D190" s="10"/>
      <c r="E190" s="10"/>
      <c r="F190" s="10"/>
      <c r="G190" s="10"/>
      <c r="H190" s="44" t="str">
        <f t="shared" si="2"/>
        <v/>
      </c>
      <c r="I190" s="44" t="str">
        <f>IF(H190="","",INDEX(Risk_Model!$B$30:$B$33,MATCH(H190,Risk_Model!$A$30:$A$33,1)))</f>
        <v/>
      </c>
      <c r="J190" s="10"/>
      <c r="K190" s="44" t="str">
        <f>IF(B190="","",IFERROR(IF(INDEX(Assessment!$K$5:$K$2000,MATCH(B190,Assessment!$A$5:$A$2000,0))="","",INDEX(Assessment!$K$5:$K$2000,MATCH(B190,Assessment!$A$5:$A$2000,0))),""))</f>
        <v/>
      </c>
      <c r="L190" s="47" t="str">
        <f>IF(OR(H190="",K190=""),"",ROUND(H190*(1-INDEX(Risk_Model!$C$38:$C$43,MATCH(K190,Risk_Model!$A$38:$A$43,0))),1))</f>
        <v/>
      </c>
      <c r="M190" s="44" t="str">
        <f>IF(L190="","",INDEX(Risk_Model!$B$30:$B$33,MATCH(L190,Risk_Model!$A$30:$A$33,1)))</f>
        <v/>
      </c>
      <c r="N190" s="10"/>
      <c r="O190" s="14"/>
      <c r="P190" s="10"/>
      <c r="Q190" s="10"/>
    </row>
    <row r="191" spans="1:17" x14ac:dyDescent="0.35">
      <c r="A191" s="10"/>
      <c r="B191" s="10"/>
      <c r="C191" s="43" t="str">
        <f>IF(B191="","",IFERROR(INDEX(Assessment!$E$5:$E$2000,MATCH(B191,Assessment!$A$5:$A$2000,0)),"Not found"))</f>
        <v/>
      </c>
      <c r="D191" s="10"/>
      <c r="E191" s="10"/>
      <c r="F191" s="10"/>
      <c r="G191" s="10"/>
      <c r="H191" s="44" t="str">
        <f t="shared" si="2"/>
        <v/>
      </c>
      <c r="I191" s="44" t="str">
        <f>IF(H191="","",INDEX(Risk_Model!$B$30:$B$33,MATCH(H191,Risk_Model!$A$30:$A$33,1)))</f>
        <v/>
      </c>
      <c r="J191" s="10"/>
      <c r="K191" s="44" t="str">
        <f>IF(B191="","",IFERROR(IF(INDEX(Assessment!$K$5:$K$2000,MATCH(B191,Assessment!$A$5:$A$2000,0))="","",INDEX(Assessment!$K$5:$K$2000,MATCH(B191,Assessment!$A$5:$A$2000,0))),""))</f>
        <v/>
      </c>
      <c r="L191" s="47" t="str">
        <f>IF(OR(H191="",K191=""),"",ROUND(H191*(1-INDEX(Risk_Model!$C$38:$C$43,MATCH(K191,Risk_Model!$A$38:$A$43,0))),1))</f>
        <v/>
      </c>
      <c r="M191" s="44" t="str">
        <f>IF(L191="","",INDEX(Risk_Model!$B$30:$B$33,MATCH(L191,Risk_Model!$A$30:$A$33,1)))</f>
        <v/>
      </c>
      <c r="N191" s="10"/>
      <c r="O191" s="14"/>
      <c r="P191" s="10"/>
      <c r="Q191" s="10"/>
    </row>
    <row r="192" spans="1:17" x14ac:dyDescent="0.35">
      <c r="A192" s="10"/>
      <c r="B192" s="10"/>
      <c r="C192" s="43" t="str">
        <f>IF(B192="","",IFERROR(INDEX(Assessment!$E$5:$E$2000,MATCH(B192,Assessment!$A$5:$A$2000,0)),"Not found"))</f>
        <v/>
      </c>
      <c r="D192" s="10"/>
      <c r="E192" s="10"/>
      <c r="F192" s="10"/>
      <c r="G192" s="10"/>
      <c r="H192" s="44" t="str">
        <f t="shared" si="2"/>
        <v/>
      </c>
      <c r="I192" s="44" t="str">
        <f>IF(H192="","",INDEX(Risk_Model!$B$30:$B$33,MATCH(H192,Risk_Model!$A$30:$A$33,1)))</f>
        <v/>
      </c>
      <c r="J192" s="10"/>
      <c r="K192" s="44" t="str">
        <f>IF(B192="","",IFERROR(IF(INDEX(Assessment!$K$5:$K$2000,MATCH(B192,Assessment!$A$5:$A$2000,0))="","",INDEX(Assessment!$K$5:$K$2000,MATCH(B192,Assessment!$A$5:$A$2000,0))),""))</f>
        <v/>
      </c>
      <c r="L192" s="47" t="str">
        <f>IF(OR(H192="",K192=""),"",ROUND(H192*(1-INDEX(Risk_Model!$C$38:$C$43,MATCH(K192,Risk_Model!$A$38:$A$43,0))),1))</f>
        <v/>
      </c>
      <c r="M192" s="44" t="str">
        <f>IF(L192="","",INDEX(Risk_Model!$B$30:$B$33,MATCH(L192,Risk_Model!$A$30:$A$33,1)))</f>
        <v/>
      </c>
      <c r="N192" s="10"/>
      <c r="O192" s="14"/>
      <c r="P192" s="10"/>
      <c r="Q192" s="10"/>
    </row>
    <row r="193" spans="1:17" x14ac:dyDescent="0.35">
      <c r="A193" s="10"/>
      <c r="B193" s="10"/>
      <c r="C193" s="43" t="str">
        <f>IF(B193="","",IFERROR(INDEX(Assessment!$E$5:$E$2000,MATCH(B193,Assessment!$A$5:$A$2000,0)),"Not found"))</f>
        <v/>
      </c>
      <c r="D193" s="10"/>
      <c r="E193" s="10"/>
      <c r="F193" s="10"/>
      <c r="G193" s="10"/>
      <c r="H193" s="44" t="str">
        <f t="shared" si="2"/>
        <v/>
      </c>
      <c r="I193" s="44" t="str">
        <f>IF(H193="","",INDEX(Risk_Model!$B$30:$B$33,MATCH(H193,Risk_Model!$A$30:$A$33,1)))</f>
        <v/>
      </c>
      <c r="J193" s="10"/>
      <c r="K193" s="44" t="str">
        <f>IF(B193="","",IFERROR(IF(INDEX(Assessment!$K$5:$K$2000,MATCH(B193,Assessment!$A$5:$A$2000,0))="","",INDEX(Assessment!$K$5:$K$2000,MATCH(B193,Assessment!$A$5:$A$2000,0))),""))</f>
        <v/>
      </c>
      <c r="L193" s="47" t="str">
        <f>IF(OR(H193="",K193=""),"",ROUND(H193*(1-INDEX(Risk_Model!$C$38:$C$43,MATCH(K193,Risk_Model!$A$38:$A$43,0))),1))</f>
        <v/>
      </c>
      <c r="M193" s="44" t="str">
        <f>IF(L193="","",INDEX(Risk_Model!$B$30:$B$33,MATCH(L193,Risk_Model!$A$30:$A$33,1)))</f>
        <v/>
      </c>
      <c r="N193" s="10"/>
      <c r="O193" s="14"/>
      <c r="P193" s="10"/>
      <c r="Q193" s="10"/>
    </row>
    <row r="194" spans="1:17" x14ac:dyDescent="0.35">
      <c r="A194" s="10"/>
      <c r="B194" s="10"/>
      <c r="C194" s="43" t="str">
        <f>IF(B194="","",IFERROR(INDEX(Assessment!$E$5:$E$2000,MATCH(B194,Assessment!$A$5:$A$2000,0)),"Not found"))</f>
        <v/>
      </c>
      <c r="D194" s="10"/>
      <c r="E194" s="10"/>
      <c r="F194" s="10"/>
      <c r="G194" s="10"/>
      <c r="H194" s="44" t="str">
        <f t="shared" si="2"/>
        <v/>
      </c>
      <c r="I194" s="44" t="str">
        <f>IF(H194="","",INDEX(Risk_Model!$B$30:$B$33,MATCH(H194,Risk_Model!$A$30:$A$33,1)))</f>
        <v/>
      </c>
      <c r="J194" s="10"/>
      <c r="K194" s="44" t="str">
        <f>IF(B194="","",IFERROR(IF(INDEX(Assessment!$K$5:$K$2000,MATCH(B194,Assessment!$A$5:$A$2000,0))="","",INDEX(Assessment!$K$5:$K$2000,MATCH(B194,Assessment!$A$5:$A$2000,0))),""))</f>
        <v/>
      </c>
      <c r="L194" s="47" t="str">
        <f>IF(OR(H194="",K194=""),"",ROUND(H194*(1-INDEX(Risk_Model!$C$38:$C$43,MATCH(K194,Risk_Model!$A$38:$A$43,0))),1))</f>
        <v/>
      </c>
      <c r="M194" s="44" t="str">
        <f>IF(L194="","",INDEX(Risk_Model!$B$30:$B$33,MATCH(L194,Risk_Model!$A$30:$A$33,1)))</f>
        <v/>
      </c>
      <c r="N194" s="10"/>
      <c r="O194" s="14"/>
      <c r="P194" s="10"/>
      <c r="Q194" s="10"/>
    </row>
    <row r="195" spans="1:17" x14ac:dyDescent="0.35">
      <c r="A195" s="10"/>
      <c r="B195" s="10"/>
      <c r="C195" s="43" t="str">
        <f>IF(B195="","",IFERROR(INDEX(Assessment!$E$5:$E$2000,MATCH(B195,Assessment!$A$5:$A$2000,0)),"Not found"))</f>
        <v/>
      </c>
      <c r="D195" s="10"/>
      <c r="E195" s="10"/>
      <c r="F195" s="10"/>
      <c r="G195" s="10"/>
      <c r="H195" s="44" t="str">
        <f t="shared" si="2"/>
        <v/>
      </c>
      <c r="I195" s="44" t="str">
        <f>IF(H195="","",INDEX(Risk_Model!$B$30:$B$33,MATCH(H195,Risk_Model!$A$30:$A$33,1)))</f>
        <v/>
      </c>
      <c r="J195" s="10"/>
      <c r="K195" s="44" t="str">
        <f>IF(B195="","",IFERROR(IF(INDEX(Assessment!$K$5:$K$2000,MATCH(B195,Assessment!$A$5:$A$2000,0))="","",INDEX(Assessment!$K$5:$K$2000,MATCH(B195,Assessment!$A$5:$A$2000,0))),""))</f>
        <v/>
      </c>
      <c r="L195" s="47" t="str">
        <f>IF(OR(H195="",K195=""),"",ROUND(H195*(1-INDEX(Risk_Model!$C$38:$C$43,MATCH(K195,Risk_Model!$A$38:$A$43,0))),1))</f>
        <v/>
      </c>
      <c r="M195" s="44" t="str">
        <f>IF(L195="","",INDEX(Risk_Model!$B$30:$B$33,MATCH(L195,Risk_Model!$A$30:$A$33,1)))</f>
        <v/>
      </c>
      <c r="N195" s="10"/>
      <c r="O195" s="14"/>
      <c r="P195" s="10"/>
      <c r="Q195" s="10"/>
    </row>
    <row r="196" spans="1:17" x14ac:dyDescent="0.35">
      <c r="A196" s="10"/>
      <c r="B196" s="10"/>
      <c r="C196" s="43" t="str">
        <f>IF(B196="","",IFERROR(INDEX(Assessment!$E$5:$E$2000,MATCH(B196,Assessment!$A$5:$A$2000,0)),"Not found"))</f>
        <v/>
      </c>
      <c r="D196" s="10"/>
      <c r="E196" s="10"/>
      <c r="F196" s="10"/>
      <c r="G196" s="10"/>
      <c r="H196" s="44" t="str">
        <f t="shared" si="2"/>
        <v/>
      </c>
      <c r="I196" s="44" t="str">
        <f>IF(H196="","",INDEX(Risk_Model!$B$30:$B$33,MATCH(H196,Risk_Model!$A$30:$A$33,1)))</f>
        <v/>
      </c>
      <c r="J196" s="10"/>
      <c r="K196" s="44" t="str">
        <f>IF(B196="","",IFERROR(IF(INDEX(Assessment!$K$5:$K$2000,MATCH(B196,Assessment!$A$5:$A$2000,0))="","",INDEX(Assessment!$K$5:$K$2000,MATCH(B196,Assessment!$A$5:$A$2000,0))),""))</f>
        <v/>
      </c>
      <c r="L196" s="47" t="str">
        <f>IF(OR(H196="",K196=""),"",ROUND(H196*(1-INDEX(Risk_Model!$C$38:$C$43,MATCH(K196,Risk_Model!$A$38:$A$43,0))),1))</f>
        <v/>
      </c>
      <c r="M196" s="44" t="str">
        <f>IF(L196="","",INDEX(Risk_Model!$B$30:$B$33,MATCH(L196,Risk_Model!$A$30:$A$33,1)))</f>
        <v/>
      </c>
      <c r="N196" s="10"/>
      <c r="O196" s="14"/>
      <c r="P196" s="10"/>
      <c r="Q196" s="10"/>
    </row>
    <row r="197" spans="1:17" x14ac:dyDescent="0.35">
      <c r="A197" s="10"/>
      <c r="B197" s="10"/>
      <c r="C197" s="43" t="str">
        <f>IF(B197="","",IFERROR(INDEX(Assessment!$E$5:$E$2000,MATCH(B197,Assessment!$A$5:$A$2000,0)),"Not found"))</f>
        <v/>
      </c>
      <c r="D197" s="10"/>
      <c r="E197" s="10"/>
      <c r="F197" s="10"/>
      <c r="G197" s="10"/>
      <c r="H197" s="44" t="str">
        <f t="shared" ref="H197:H260" si="3">IF(OR(F197="",G197=""),"",F197*G197)</f>
        <v/>
      </c>
      <c r="I197" s="44" t="str">
        <f>IF(H197="","",INDEX(Risk_Model!$B$30:$B$33,MATCH(H197,Risk_Model!$A$30:$A$33,1)))</f>
        <v/>
      </c>
      <c r="J197" s="10"/>
      <c r="K197" s="44" t="str">
        <f>IF(B197="","",IFERROR(IF(INDEX(Assessment!$K$5:$K$2000,MATCH(B197,Assessment!$A$5:$A$2000,0))="","",INDEX(Assessment!$K$5:$K$2000,MATCH(B197,Assessment!$A$5:$A$2000,0))),""))</f>
        <v/>
      </c>
      <c r="L197" s="47" t="str">
        <f>IF(OR(H197="",K197=""),"",ROUND(H197*(1-INDEX(Risk_Model!$C$38:$C$43,MATCH(K197,Risk_Model!$A$38:$A$43,0))),1))</f>
        <v/>
      </c>
      <c r="M197" s="44" t="str">
        <f>IF(L197="","",INDEX(Risk_Model!$B$30:$B$33,MATCH(L197,Risk_Model!$A$30:$A$33,1)))</f>
        <v/>
      </c>
      <c r="N197" s="10"/>
      <c r="O197" s="14"/>
      <c r="P197" s="10"/>
      <c r="Q197" s="10"/>
    </row>
    <row r="198" spans="1:17" x14ac:dyDescent="0.35">
      <c r="A198" s="10"/>
      <c r="B198" s="10"/>
      <c r="C198" s="43" t="str">
        <f>IF(B198="","",IFERROR(INDEX(Assessment!$E$5:$E$2000,MATCH(B198,Assessment!$A$5:$A$2000,0)),"Not found"))</f>
        <v/>
      </c>
      <c r="D198" s="10"/>
      <c r="E198" s="10"/>
      <c r="F198" s="10"/>
      <c r="G198" s="10"/>
      <c r="H198" s="44" t="str">
        <f t="shared" si="3"/>
        <v/>
      </c>
      <c r="I198" s="44" t="str">
        <f>IF(H198="","",INDEX(Risk_Model!$B$30:$B$33,MATCH(H198,Risk_Model!$A$30:$A$33,1)))</f>
        <v/>
      </c>
      <c r="J198" s="10"/>
      <c r="K198" s="44" t="str">
        <f>IF(B198="","",IFERROR(IF(INDEX(Assessment!$K$5:$K$2000,MATCH(B198,Assessment!$A$5:$A$2000,0))="","",INDEX(Assessment!$K$5:$K$2000,MATCH(B198,Assessment!$A$5:$A$2000,0))),""))</f>
        <v/>
      </c>
      <c r="L198" s="47" t="str">
        <f>IF(OR(H198="",K198=""),"",ROUND(H198*(1-INDEX(Risk_Model!$C$38:$C$43,MATCH(K198,Risk_Model!$A$38:$A$43,0))),1))</f>
        <v/>
      </c>
      <c r="M198" s="44" t="str">
        <f>IF(L198="","",INDEX(Risk_Model!$B$30:$B$33,MATCH(L198,Risk_Model!$A$30:$A$33,1)))</f>
        <v/>
      </c>
      <c r="N198" s="10"/>
      <c r="O198" s="14"/>
      <c r="P198" s="10"/>
      <c r="Q198" s="10"/>
    </row>
    <row r="199" spans="1:17" x14ac:dyDescent="0.35">
      <c r="A199" s="10"/>
      <c r="B199" s="10"/>
      <c r="C199" s="43" t="str">
        <f>IF(B199="","",IFERROR(INDEX(Assessment!$E$5:$E$2000,MATCH(B199,Assessment!$A$5:$A$2000,0)),"Not found"))</f>
        <v/>
      </c>
      <c r="D199" s="10"/>
      <c r="E199" s="10"/>
      <c r="F199" s="10"/>
      <c r="G199" s="10"/>
      <c r="H199" s="44" t="str">
        <f t="shared" si="3"/>
        <v/>
      </c>
      <c r="I199" s="44" t="str">
        <f>IF(H199="","",INDEX(Risk_Model!$B$30:$B$33,MATCH(H199,Risk_Model!$A$30:$A$33,1)))</f>
        <v/>
      </c>
      <c r="J199" s="10"/>
      <c r="K199" s="44" t="str">
        <f>IF(B199="","",IFERROR(IF(INDEX(Assessment!$K$5:$K$2000,MATCH(B199,Assessment!$A$5:$A$2000,0))="","",INDEX(Assessment!$K$5:$K$2000,MATCH(B199,Assessment!$A$5:$A$2000,0))),""))</f>
        <v/>
      </c>
      <c r="L199" s="47" t="str">
        <f>IF(OR(H199="",K199=""),"",ROUND(H199*(1-INDEX(Risk_Model!$C$38:$C$43,MATCH(K199,Risk_Model!$A$38:$A$43,0))),1))</f>
        <v/>
      </c>
      <c r="M199" s="44" t="str">
        <f>IF(L199="","",INDEX(Risk_Model!$B$30:$B$33,MATCH(L199,Risk_Model!$A$30:$A$33,1)))</f>
        <v/>
      </c>
      <c r="N199" s="10"/>
      <c r="O199" s="14"/>
      <c r="P199" s="10"/>
      <c r="Q199" s="10"/>
    </row>
    <row r="200" spans="1:17" x14ac:dyDescent="0.35">
      <c r="A200" s="10"/>
      <c r="B200" s="10"/>
      <c r="C200" s="43" t="str">
        <f>IF(B200="","",IFERROR(INDEX(Assessment!$E$5:$E$2000,MATCH(B200,Assessment!$A$5:$A$2000,0)),"Not found"))</f>
        <v/>
      </c>
      <c r="D200" s="10"/>
      <c r="E200" s="10"/>
      <c r="F200" s="10"/>
      <c r="G200" s="10"/>
      <c r="H200" s="44" t="str">
        <f t="shared" si="3"/>
        <v/>
      </c>
      <c r="I200" s="44" t="str">
        <f>IF(H200="","",INDEX(Risk_Model!$B$30:$B$33,MATCH(H200,Risk_Model!$A$30:$A$33,1)))</f>
        <v/>
      </c>
      <c r="J200" s="10"/>
      <c r="K200" s="44" t="str">
        <f>IF(B200="","",IFERROR(IF(INDEX(Assessment!$K$5:$K$2000,MATCH(B200,Assessment!$A$5:$A$2000,0))="","",INDEX(Assessment!$K$5:$K$2000,MATCH(B200,Assessment!$A$5:$A$2000,0))),""))</f>
        <v/>
      </c>
      <c r="L200" s="47" t="str">
        <f>IF(OR(H200="",K200=""),"",ROUND(H200*(1-INDEX(Risk_Model!$C$38:$C$43,MATCH(K200,Risk_Model!$A$38:$A$43,0))),1))</f>
        <v/>
      </c>
      <c r="M200" s="44" t="str">
        <f>IF(L200="","",INDEX(Risk_Model!$B$30:$B$33,MATCH(L200,Risk_Model!$A$30:$A$33,1)))</f>
        <v/>
      </c>
      <c r="N200" s="10"/>
      <c r="O200" s="14"/>
      <c r="P200" s="10"/>
      <c r="Q200" s="10"/>
    </row>
    <row r="201" spans="1:17" x14ac:dyDescent="0.35">
      <c r="A201" s="10"/>
      <c r="B201" s="10"/>
      <c r="C201" s="43" t="str">
        <f>IF(B201="","",IFERROR(INDEX(Assessment!$E$5:$E$2000,MATCH(B201,Assessment!$A$5:$A$2000,0)),"Not found"))</f>
        <v/>
      </c>
      <c r="D201" s="10"/>
      <c r="E201" s="10"/>
      <c r="F201" s="10"/>
      <c r="G201" s="10"/>
      <c r="H201" s="44" t="str">
        <f t="shared" si="3"/>
        <v/>
      </c>
      <c r="I201" s="44" t="str">
        <f>IF(H201="","",INDEX(Risk_Model!$B$30:$B$33,MATCH(H201,Risk_Model!$A$30:$A$33,1)))</f>
        <v/>
      </c>
      <c r="J201" s="10"/>
      <c r="K201" s="44" t="str">
        <f>IF(B201="","",IFERROR(IF(INDEX(Assessment!$K$5:$K$2000,MATCH(B201,Assessment!$A$5:$A$2000,0))="","",INDEX(Assessment!$K$5:$K$2000,MATCH(B201,Assessment!$A$5:$A$2000,0))),""))</f>
        <v/>
      </c>
      <c r="L201" s="47" t="str">
        <f>IF(OR(H201="",K201=""),"",ROUND(H201*(1-INDEX(Risk_Model!$C$38:$C$43,MATCH(K201,Risk_Model!$A$38:$A$43,0))),1))</f>
        <v/>
      </c>
      <c r="M201" s="44" t="str">
        <f>IF(L201="","",INDEX(Risk_Model!$B$30:$B$33,MATCH(L201,Risk_Model!$A$30:$A$33,1)))</f>
        <v/>
      </c>
      <c r="N201" s="10"/>
      <c r="O201" s="14"/>
      <c r="P201" s="10"/>
      <c r="Q201" s="10"/>
    </row>
    <row r="202" spans="1:17" x14ac:dyDescent="0.35">
      <c r="A202" s="10"/>
      <c r="B202" s="10"/>
      <c r="C202" s="43" t="str">
        <f>IF(B202="","",IFERROR(INDEX(Assessment!$E$5:$E$2000,MATCH(B202,Assessment!$A$5:$A$2000,0)),"Not found"))</f>
        <v/>
      </c>
      <c r="D202" s="10"/>
      <c r="E202" s="10"/>
      <c r="F202" s="10"/>
      <c r="G202" s="10"/>
      <c r="H202" s="44" t="str">
        <f t="shared" si="3"/>
        <v/>
      </c>
      <c r="I202" s="44" t="str">
        <f>IF(H202="","",INDEX(Risk_Model!$B$30:$B$33,MATCH(H202,Risk_Model!$A$30:$A$33,1)))</f>
        <v/>
      </c>
      <c r="J202" s="10"/>
      <c r="K202" s="44" t="str">
        <f>IF(B202="","",IFERROR(IF(INDEX(Assessment!$K$5:$K$2000,MATCH(B202,Assessment!$A$5:$A$2000,0))="","",INDEX(Assessment!$K$5:$K$2000,MATCH(B202,Assessment!$A$5:$A$2000,0))),""))</f>
        <v/>
      </c>
      <c r="L202" s="47" t="str">
        <f>IF(OR(H202="",K202=""),"",ROUND(H202*(1-INDEX(Risk_Model!$C$38:$C$43,MATCH(K202,Risk_Model!$A$38:$A$43,0))),1))</f>
        <v/>
      </c>
      <c r="M202" s="44" t="str">
        <f>IF(L202="","",INDEX(Risk_Model!$B$30:$B$33,MATCH(L202,Risk_Model!$A$30:$A$33,1)))</f>
        <v/>
      </c>
      <c r="N202" s="10"/>
      <c r="O202" s="14"/>
      <c r="P202" s="10"/>
      <c r="Q202" s="10"/>
    </row>
    <row r="203" spans="1:17" x14ac:dyDescent="0.35">
      <c r="A203" s="10"/>
      <c r="B203" s="10"/>
      <c r="C203" s="43" t="str">
        <f>IF(B203="","",IFERROR(INDEX(Assessment!$E$5:$E$2000,MATCH(B203,Assessment!$A$5:$A$2000,0)),"Not found"))</f>
        <v/>
      </c>
      <c r="D203" s="10"/>
      <c r="E203" s="10"/>
      <c r="F203" s="10"/>
      <c r="G203" s="10"/>
      <c r="H203" s="44" t="str">
        <f t="shared" si="3"/>
        <v/>
      </c>
      <c r="I203" s="44" t="str">
        <f>IF(H203="","",INDEX(Risk_Model!$B$30:$B$33,MATCH(H203,Risk_Model!$A$30:$A$33,1)))</f>
        <v/>
      </c>
      <c r="J203" s="10"/>
      <c r="K203" s="44" t="str">
        <f>IF(B203="","",IFERROR(IF(INDEX(Assessment!$K$5:$K$2000,MATCH(B203,Assessment!$A$5:$A$2000,0))="","",INDEX(Assessment!$K$5:$K$2000,MATCH(B203,Assessment!$A$5:$A$2000,0))),""))</f>
        <v/>
      </c>
      <c r="L203" s="47" t="str">
        <f>IF(OR(H203="",K203=""),"",ROUND(H203*(1-INDEX(Risk_Model!$C$38:$C$43,MATCH(K203,Risk_Model!$A$38:$A$43,0))),1))</f>
        <v/>
      </c>
      <c r="M203" s="44" t="str">
        <f>IF(L203="","",INDEX(Risk_Model!$B$30:$B$33,MATCH(L203,Risk_Model!$A$30:$A$33,1)))</f>
        <v/>
      </c>
      <c r="N203" s="10"/>
      <c r="O203" s="14"/>
      <c r="P203" s="10"/>
      <c r="Q203" s="10"/>
    </row>
    <row r="204" spans="1:17" x14ac:dyDescent="0.35">
      <c r="A204" s="10"/>
      <c r="B204" s="10"/>
      <c r="C204" s="43" t="str">
        <f>IF(B204="","",IFERROR(INDEX(Assessment!$E$5:$E$2000,MATCH(B204,Assessment!$A$5:$A$2000,0)),"Not found"))</f>
        <v/>
      </c>
      <c r="D204" s="10"/>
      <c r="E204" s="10"/>
      <c r="F204" s="10"/>
      <c r="G204" s="10"/>
      <c r="H204" s="44" t="str">
        <f t="shared" si="3"/>
        <v/>
      </c>
      <c r="I204" s="44" t="str">
        <f>IF(H204="","",INDEX(Risk_Model!$B$30:$B$33,MATCH(H204,Risk_Model!$A$30:$A$33,1)))</f>
        <v/>
      </c>
      <c r="J204" s="10"/>
      <c r="K204" s="44" t="str">
        <f>IF(B204="","",IFERROR(IF(INDEX(Assessment!$K$5:$K$2000,MATCH(B204,Assessment!$A$5:$A$2000,0))="","",INDEX(Assessment!$K$5:$K$2000,MATCH(B204,Assessment!$A$5:$A$2000,0))),""))</f>
        <v/>
      </c>
      <c r="L204" s="47" t="str">
        <f>IF(OR(H204="",K204=""),"",ROUND(H204*(1-INDEX(Risk_Model!$C$38:$C$43,MATCH(K204,Risk_Model!$A$38:$A$43,0))),1))</f>
        <v/>
      </c>
      <c r="M204" s="44" t="str">
        <f>IF(L204="","",INDEX(Risk_Model!$B$30:$B$33,MATCH(L204,Risk_Model!$A$30:$A$33,1)))</f>
        <v/>
      </c>
      <c r="N204" s="10"/>
      <c r="O204" s="14"/>
      <c r="P204" s="10"/>
      <c r="Q204" s="10"/>
    </row>
    <row r="205" spans="1:17" x14ac:dyDescent="0.35">
      <c r="A205" s="10"/>
      <c r="B205" s="10"/>
      <c r="C205" s="43" t="str">
        <f>IF(B205="","",IFERROR(INDEX(Assessment!$E$5:$E$2000,MATCH(B205,Assessment!$A$5:$A$2000,0)),"Not found"))</f>
        <v/>
      </c>
      <c r="D205" s="10"/>
      <c r="E205" s="10"/>
      <c r="F205" s="10"/>
      <c r="G205" s="10"/>
      <c r="H205" s="44" t="str">
        <f t="shared" si="3"/>
        <v/>
      </c>
      <c r="I205" s="44" t="str">
        <f>IF(H205="","",INDEX(Risk_Model!$B$30:$B$33,MATCH(H205,Risk_Model!$A$30:$A$33,1)))</f>
        <v/>
      </c>
      <c r="J205" s="10"/>
      <c r="K205" s="44" t="str">
        <f>IF(B205="","",IFERROR(IF(INDEX(Assessment!$K$5:$K$2000,MATCH(B205,Assessment!$A$5:$A$2000,0))="","",INDEX(Assessment!$K$5:$K$2000,MATCH(B205,Assessment!$A$5:$A$2000,0))),""))</f>
        <v/>
      </c>
      <c r="L205" s="47" t="str">
        <f>IF(OR(H205="",K205=""),"",ROUND(H205*(1-INDEX(Risk_Model!$C$38:$C$43,MATCH(K205,Risk_Model!$A$38:$A$43,0))),1))</f>
        <v/>
      </c>
      <c r="M205" s="44" t="str">
        <f>IF(L205="","",INDEX(Risk_Model!$B$30:$B$33,MATCH(L205,Risk_Model!$A$30:$A$33,1)))</f>
        <v/>
      </c>
      <c r="N205" s="10"/>
      <c r="O205" s="14"/>
      <c r="P205" s="10"/>
      <c r="Q205" s="10"/>
    </row>
  </sheetData>
  <autoFilter ref="A4:Q205" xr:uid="{00000000-0009-0000-0000-000007000000}"/>
  <conditionalFormatting sqref="I5:I205">
    <cfRule type="cellIs" dxfId="22" priority="2" operator="equal">
      <formula>"Low"</formula>
    </cfRule>
    <cfRule type="cellIs" dxfId="21" priority="3" operator="equal">
      <formula>"Medium"</formula>
    </cfRule>
    <cfRule type="cellIs" dxfId="20" priority="4" operator="equal">
      <formula>"High"</formula>
    </cfRule>
    <cfRule type="cellIs" dxfId="19" priority="5" operator="equal">
      <formula>"Critical"</formula>
    </cfRule>
  </conditionalFormatting>
  <conditionalFormatting sqref="M5:M205">
    <cfRule type="cellIs" dxfId="18" priority="6" operator="equal">
      <formula>"Low"</formula>
    </cfRule>
    <cfRule type="cellIs" dxfId="17" priority="7" operator="equal">
      <formula>"Medium"</formula>
    </cfRule>
    <cfRule type="cellIs" dxfId="16" priority="8" operator="equal">
      <formula>"High"</formula>
    </cfRule>
    <cfRule type="cellIs" dxfId="15" priority="9" operator="equal">
      <formula>"Critical"</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5">
        <x14:dataValidation type="list" allowBlank="1" showErrorMessage="1" error="Choose a value from the list" xr:uid="{00000000-0002-0000-0700-000000000000}">
          <x14:formula1>
            <xm:f>Assessment!$A$5:$A$2000</xm:f>
          </x14:formula1>
          <x14:formula2>
            <xm:f>0</xm:f>
          </x14:formula2>
          <xm:sqref>B6:B205</xm:sqref>
        </x14:dataValidation>
        <x14:dataValidation type="list" allowBlank="1" showErrorMessage="1" error="Choose a value from the list" xr:uid="{00000000-0002-0000-0700-000001000000}">
          <x14:formula1>
            <xm:f>Lists!$O$4:$O$8</xm:f>
          </x14:formula1>
          <x14:formula2>
            <xm:f>0</xm:f>
          </x14:formula2>
          <xm:sqref>F6:G205</xm:sqref>
        </x14:dataValidation>
        <x14:dataValidation type="list" allowBlank="1" showErrorMessage="1" error="Choose a value from the list" xr:uid="{00000000-0002-0000-0700-000002000000}">
          <x14:formula1>
            <xm:f>Lists!$E$4:$E$7</xm:f>
          </x14:formula1>
          <x14:formula2>
            <xm:f>0</xm:f>
          </x14:formula2>
          <xm:sqref>J6:J205</xm:sqref>
        </x14:dataValidation>
        <x14:dataValidation type="list" allowBlank="1" showErrorMessage="1" error="Choose a value from the list" xr:uid="{00000000-0002-0000-0700-000003000000}">
          <x14:formula1>
            <xm:f>Lists!$B$4:$B$8</xm:f>
          </x14:formula1>
          <x14:formula2>
            <xm:f>0</xm:f>
          </x14:formula2>
          <xm:sqref>P6:P205</xm:sqref>
        </x14:dataValidation>
        <x14:dataValidation type="list" allowBlank="1" showErrorMessage="1" error="Choose a value from the list" xr:uid="{00000000-0002-0000-0700-000004000000}">
          <x14:formula1>
            <xm:f>Lists!$P$4:$P$9</xm:f>
          </x14:formula1>
          <x14:formula2>
            <xm:f>0</xm:f>
          </x14:formula2>
          <xm:sqref>Q6:Q205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O20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x14ac:dyDescent="0.35"/>
  <cols>
    <col min="1" max="1" width="10" customWidth="1"/>
    <col min="2" max="2" width="11" customWidth="1"/>
    <col min="3" max="3" width="14" customWidth="1"/>
    <col min="4" max="4" width="11" customWidth="1"/>
    <col min="5" max="5" width="54" customWidth="1"/>
    <col min="6" max="6" width="18" customWidth="1"/>
    <col min="7" max="9" width="12" customWidth="1"/>
    <col min="10" max="10" width="13" customWidth="1"/>
    <col min="11" max="11" width="11" customWidth="1"/>
    <col min="12" max="12" width="10" customWidth="1"/>
    <col min="13" max="13" width="15" customWidth="1"/>
    <col min="14" max="14" width="16" customWidth="1"/>
    <col min="15" max="15" width="36" customWidth="1"/>
  </cols>
  <sheetData>
    <row r="1" spans="1:15" ht="20" x14ac:dyDescent="0.4">
      <c r="A1" s="8" t="s">
        <v>936</v>
      </c>
    </row>
    <row r="2" spans="1:15" x14ac:dyDescent="0.35">
      <c r="A2" s="6" t="s">
        <v>937</v>
      </c>
    </row>
    <row r="4" spans="1:15" ht="36" customHeight="1" x14ac:dyDescent="0.35">
      <c r="A4" s="11" t="s">
        <v>938</v>
      </c>
      <c r="B4" s="11" t="s">
        <v>907</v>
      </c>
      <c r="C4" s="11" t="s">
        <v>134</v>
      </c>
      <c r="D4" s="11" t="s">
        <v>139</v>
      </c>
      <c r="E4" s="11" t="s">
        <v>939</v>
      </c>
      <c r="F4" s="11" t="s">
        <v>910</v>
      </c>
      <c r="G4" s="11" t="s">
        <v>940</v>
      </c>
      <c r="H4" s="11" t="s">
        <v>941</v>
      </c>
      <c r="I4" s="11" t="s">
        <v>911</v>
      </c>
      <c r="J4" s="11" t="s">
        <v>94</v>
      </c>
      <c r="K4" s="11" t="s">
        <v>942</v>
      </c>
      <c r="L4" s="11" t="s">
        <v>943</v>
      </c>
      <c r="M4" s="11" t="s">
        <v>944</v>
      </c>
      <c r="N4" s="11" t="s">
        <v>945</v>
      </c>
      <c r="O4" s="11" t="s">
        <v>52</v>
      </c>
    </row>
    <row r="5" spans="1:15" ht="26" x14ac:dyDescent="0.35">
      <c r="A5" s="22" t="s">
        <v>895</v>
      </c>
      <c r="B5" s="22" t="s">
        <v>895</v>
      </c>
      <c r="C5" s="22" t="str">
        <f>IF(B5="","",IFERROR(INDEX(Findings_Register!$B$6:$B$205,MATCH(B5,Findings_Register!$A$6:$A$205,0)),""))</f>
        <v/>
      </c>
      <c r="D5" s="45" t="str">
        <f>IF(B5="","",IFERROR(INDEX(Findings_Register!$F$6:$F$205,MATCH(B5,Findings_Register!$A$6:$A$205,0)),""))</f>
        <v/>
      </c>
      <c r="E5" s="22" t="s">
        <v>946</v>
      </c>
      <c r="F5" s="22" t="s">
        <v>918</v>
      </c>
      <c r="G5" s="22" t="s">
        <v>947</v>
      </c>
      <c r="H5" s="42">
        <v>46307</v>
      </c>
      <c r="I5" s="42">
        <v>46371</v>
      </c>
      <c r="J5" s="22" t="s">
        <v>948</v>
      </c>
      <c r="K5" s="48">
        <v>0.25</v>
      </c>
      <c r="L5" s="45">
        <f t="shared" ref="L5:L68" ca="1" si="0">IF(OR(I5="",J5="Completed",J5="Verified"),"",I5-TODAY())</f>
        <v>72</v>
      </c>
      <c r="M5" s="45" t="str">
        <f t="shared" ref="M5:M68" ca="1" si="1">IF(OR(J5="Completed",J5="Verified"),"Done",IF(I5="","",IF(TODAY()&gt;I5,"Overdue",IF(I5-TODAY()&lt;=14,"Due within 14d","On track"))))</f>
        <v>On track</v>
      </c>
      <c r="N5" s="22"/>
      <c r="O5" s="22"/>
    </row>
    <row r="6" spans="1:15" x14ac:dyDescent="0.35">
      <c r="A6" s="10"/>
      <c r="B6" s="10"/>
      <c r="C6" s="43" t="str">
        <f>IF(B6="","",IFERROR(INDEX(Findings_Register!$B$6:$B$205,MATCH(B6,Findings_Register!$A$6:$A$205,0)),""))</f>
        <v/>
      </c>
      <c r="D6" s="44" t="str">
        <f>IF(B6="","",IFERROR(INDEX(Findings_Register!$F$6:$F$205,MATCH(B6,Findings_Register!$A$6:$A$205,0)),""))</f>
        <v/>
      </c>
      <c r="E6" s="10"/>
      <c r="F6" s="10"/>
      <c r="G6" s="10"/>
      <c r="H6" s="14"/>
      <c r="I6" s="14"/>
      <c r="J6" s="10"/>
      <c r="K6" s="49"/>
      <c r="L6" s="44" t="str">
        <f t="shared" ca="1" si="0"/>
        <v/>
      </c>
      <c r="M6" s="44" t="str">
        <f t="shared" ca="1" si="1"/>
        <v/>
      </c>
      <c r="N6" s="10"/>
      <c r="O6" s="10"/>
    </row>
    <row r="7" spans="1:15" x14ac:dyDescent="0.35">
      <c r="A7" s="10"/>
      <c r="B7" s="10"/>
      <c r="C7" s="43" t="str">
        <f>IF(B7="","",IFERROR(INDEX(Findings_Register!$B$6:$B$205,MATCH(B7,Findings_Register!$A$6:$A$205,0)),""))</f>
        <v/>
      </c>
      <c r="D7" s="44" t="str">
        <f>IF(B7="","",IFERROR(INDEX(Findings_Register!$F$6:$F$205,MATCH(B7,Findings_Register!$A$6:$A$205,0)),""))</f>
        <v/>
      </c>
      <c r="E7" s="10"/>
      <c r="F7" s="10"/>
      <c r="G7" s="10"/>
      <c r="H7" s="14"/>
      <c r="I7" s="14"/>
      <c r="J7" s="10"/>
      <c r="K7" s="49"/>
      <c r="L7" s="44" t="str">
        <f t="shared" ca="1" si="0"/>
        <v/>
      </c>
      <c r="M7" s="44" t="str">
        <f t="shared" ca="1" si="1"/>
        <v/>
      </c>
      <c r="N7" s="10"/>
      <c r="O7" s="10"/>
    </row>
    <row r="8" spans="1:15" x14ac:dyDescent="0.35">
      <c r="A8" s="10"/>
      <c r="B8" s="10"/>
      <c r="C8" s="43" t="str">
        <f>IF(B8="","",IFERROR(INDEX(Findings_Register!$B$6:$B$205,MATCH(B8,Findings_Register!$A$6:$A$205,0)),""))</f>
        <v/>
      </c>
      <c r="D8" s="44" t="str">
        <f>IF(B8="","",IFERROR(INDEX(Findings_Register!$F$6:$F$205,MATCH(B8,Findings_Register!$A$6:$A$205,0)),""))</f>
        <v/>
      </c>
      <c r="E8" s="10"/>
      <c r="F8" s="10"/>
      <c r="G8" s="10"/>
      <c r="H8" s="14"/>
      <c r="I8" s="14"/>
      <c r="J8" s="10"/>
      <c r="K8" s="49"/>
      <c r="L8" s="44" t="str">
        <f t="shared" ca="1" si="0"/>
        <v/>
      </c>
      <c r="M8" s="44" t="str">
        <f t="shared" ca="1" si="1"/>
        <v/>
      </c>
      <c r="N8" s="10"/>
      <c r="O8" s="10"/>
    </row>
    <row r="9" spans="1:15" x14ac:dyDescent="0.35">
      <c r="A9" s="10"/>
      <c r="B9" s="10"/>
      <c r="C9" s="43" t="str">
        <f>IF(B9="","",IFERROR(INDEX(Findings_Register!$B$6:$B$205,MATCH(B9,Findings_Register!$A$6:$A$205,0)),""))</f>
        <v/>
      </c>
      <c r="D9" s="44" t="str">
        <f>IF(B9="","",IFERROR(INDEX(Findings_Register!$F$6:$F$205,MATCH(B9,Findings_Register!$A$6:$A$205,0)),""))</f>
        <v/>
      </c>
      <c r="E9" s="10"/>
      <c r="F9" s="10"/>
      <c r="G9" s="10"/>
      <c r="H9" s="14"/>
      <c r="I9" s="14"/>
      <c r="J9" s="10"/>
      <c r="K9" s="49"/>
      <c r="L9" s="44" t="str">
        <f t="shared" ca="1" si="0"/>
        <v/>
      </c>
      <c r="M9" s="44" t="str">
        <f t="shared" ca="1" si="1"/>
        <v/>
      </c>
      <c r="N9" s="10"/>
      <c r="O9" s="10"/>
    </row>
    <row r="10" spans="1:15" x14ac:dyDescent="0.35">
      <c r="A10" s="10"/>
      <c r="B10" s="10"/>
      <c r="C10" s="43" t="str">
        <f>IF(B10="","",IFERROR(INDEX(Findings_Register!$B$6:$B$205,MATCH(B10,Findings_Register!$A$6:$A$205,0)),""))</f>
        <v/>
      </c>
      <c r="D10" s="44" t="str">
        <f>IF(B10="","",IFERROR(INDEX(Findings_Register!$F$6:$F$205,MATCH(B10,Findings_Register!$A$6:$A$205,0)),""))</f>
        <v/>
      </c>
      <c r="E10" s="10"/>
      <c r="F10" s="10"/>
      <c r="G10" s="10"/>
      <c r="H10" s="14"/>
      <c r="I10" s="14"/>
      <c r="J10" s="10"/>
      <c r="K10" s="49"/>
      <c r="L10" s="44" t="str">
        <f t="shared" ca="1" si="0"/>
        <v/>
      </c>
      <c r="M10" s="44" t="str">
        <f t="shared" ca="1" si="1"/>
        <v/>
      </c>
      <c r="N10" s="10"/>
      <c r="O10" s="10"/>
    </row>
    <row r="11" spans="1:15" x14ac:dyDescent="0.35">
      <c r="A11" s="10"/>
      <c r="B11" s="10"/>
      <c r="C11" s="43" t="str">
        <f>IF(B11="","",IFERROR(INDEX(Findings_Register!$B$6:$B$205,MATCH(B11,Findings_Register!$A$6:$A$205,0)),""))</f>
        <v/>
      </c>
      <c r="D11" s="44" t="str">
        <f>IF(B11="","",IFERROR(INDEX(Findings_Register!$F$6:$F$205,MATCH(B11,Findings_Register!$A$6:$A$205,0)),""))</f>
        <v/>
      </c>
      <c r="E11" s="10"/>
      <c r="F11" s="10"/>
      <c r="G11" s="10"/>
      <c r="H11" s="14"/>
      <c r="I11" s="14"/>
      <c r="J11" s="10"/>
      <c r="K11" s="49"/>
      <c r="L11" s="44" t="str">
        <f t="shared" ca="1" si="0"/>
        <v/>
      </c>
      <c r="M11" s="44" t="str">
        <f t="shared" ca="1" si="1"/>
        <v/>
      </c>
      <c r="N11" s="10"/>
      <c r="O11" s="10"/>
    </row>
    <row r="12" spans="1:15" x14ac:dyDescent="0.35">
      <c r="A12" s="10"/>
      <c r="B12" s="10"/>
      <c r="C12" s="43" t="str">
        <f>IF(B12="","",IFERROR(INDEX(Findings_Register!$B$6:$B$205,MATCH(B12,Findings_Register!$A$6:$A$205,0)),""))</f>
        <v/>
      </c>
      <c r="D12" s="44" t="str">
        <f>IF(B12="","",IFERROR(INDEX(Findings_Register!$F$6:$F$205,MATCH(B12,Findings_Register!$A$6:$A$205,0)),""))</f>
        <v/>
      </c>
      <c r="E12" s="10"/>
      <c r="F12" s="10"/>
      <c r="G12" s="10"/>
      <c r="H12" s="14"/>
      <c r="I12" s="14"/>
      <c r="J12" s="10"/>
      <c r="K12" s="49"/>
      <c r="L12" s="44" t="str">
        <f t="shared" ca="1" si="0"/>
        <v/>
      </c>
      <c r="M12" s="44" t="str">
        <f t="shared" ca="1" si="1"/>
        <v/>
      </c>
      <c r="N12" s="10"/>
      <c r="O12" s="10"/>
    </row>
    <row r="13" spans="1:15" x14ac:dyDescent="0.35">
      <c r="A13" s="10"/>
      <c r="B13" s="10"/>
      <c r="C13" s="43" t="str">
        <f>IF(B13="","",IFERROR(INDEX(Findings_Register!$B$6:$B$205,MATCH(B13,Findings_Register!$A$6:$A$205,0)),""))</f>
        <v/>
      </c>
      <c r="D13" s="44" t="str">
        <f>IF(B13="","",IFERROR(INDEX(Findings_Register!$F$6:$F$205,MATCH(B13,Findings_Register!$A$6:$A$205,0)),""))</f>
        <v/>
      </c>
      <c r="E13" s="10"/>
      <c r="F13" s="10"/>
      <c r="G13" s="10"/>
      <c r="H13" s="14"/>
      <c r="I13" s="14"/>
      <c r="J13" s="10"/>
      <c r="K13" s="49"/>
      <c r="L13" s="44" t="str">
        <f t="shared" ca="1" si="0"/>
        <v/>
      </c>
      <c r="M13" s="44" t="str">
        <f t="shared" ca="1" si="1"/>
        <v/>
      </c>
      <c r="N13" s="10"/>
      <c r="O13" s="10"/>
    </row>
    <row r="14" spans="1:15" x14ac:dyDescent="0.35">
      <c r="A14" s="10"/>
      <c r="B14" s="10"/>
      <c r="C14" s="43" t="str">
        <f>IF(B14="","",IFERROR(INDEX(Findings_Register!$B$6:$B$205,MATCH(B14,Findings_Register!$A$6:$A$205,0)),""))</f>
        <v/>
      </c>
      <c r="D14" s="44" t="str">
        <f>IF(B14="","",IFERROR(INDEX(Findings_Register!$F$6:$F$205,MATCH(B14,Findings_Register!$A$6:$A$205,0)),""))</f>
        <v/>
      </c>
      <c r="E14" s="10"/>
      <c r="F14" s="10"/>
      <c r="G14" s="10"/>
      <c r="H14" s="14"/>
      <c r="I14" s="14"/>
      <c r="J14" s="10"/>
      <c r="K14" s="49"/>
      <c r="L14" s="44" t="str">
        <f t="shared" ca="1" si="0"/>
        <v/>
      </c>
      <c r="M14" s="44" t="str">
        <f t="shared" ca="1" si="1"/>
        <v/>
      </c>
      <c r="N14" s="10"/>
      <c r="O14" s="10"/>
    </row>
    <row r="15" spans="1:15" x14ac:dyDescent="0.35">
      <c r="A15" s="10"/>
      <c r="B15" s="10"/>
      <c r="C15" s="43" t="str">
        <f>IF(B15="","",IFERROR(INDEX(Findings_Register!$B$6:$B$205,MATCH(B15,Findings_Register!$A$6:$A$205,0)),""))</f>
        <v/>
      </c>
      <c r="D15" s="44" t="str">
        <f>IF(B15="","",IFERROR(INDEX(Findings_Register!$F$6:$F$205,MATCH(B15,Findings_Register!$A$6:$A$205,0)),""))</f>
        <v/>
      </c>
      <c r="E15" s="10"/>
      <c r="F15" s="10"/>
      <c r="G15" s="10"/>
      <c r="H15" s="14"/>
      <c r="I15" s="14"/>
      <c r="J15" s="10"/>
      <c r="K15" s="49"/>
      <c r="L15" s="44" t="str">
        <f t="shared" ca="1" si="0"/>
        <v/>
      </c>
      <c r="M15" s="44" t="str">
        <f t="shared" ca="1" si="1"/>
        <v/>
      </c>
      <c r="N15" s="10"/>
      <c r="O15" s="10"/>
    </row>
    <row r="16" spans="1:15" x14ac:dyDescent="0.35">
      <c r="A16" s="10"/>
      <c r="B16" s="10"/>
      <c r="C16" s="43" t="str">
        <f>IF(B16="","",IFERROR(INDEX(Findings_Register!$B$6:$B$205,MATCH(B16,Findings_Register!$A$6:$A$205,0)),""))</f>
        <v/>
      </c>
      <c r="D16" s="44" t="str">
        <f>IF(B16="","",IFERROR(INDEX(Findings_Register!$F$6:$F$205,MATCH(B16,Findings_Register!$A$6:$A$205,0)),""))</f>
        <v/>
      </c>
      <c r="E16" s="10"/>
      <c r="F16" s="10"/>
      <c r="G16" s="10"/>
      <c r="H16" s="14"/>
      <c r="I16" s="14"/>
      <c r="J16" s="10"/>
      <c r="K16" s="49"/>
      <c r="L16" s="44" t="str">
        <f t="shared" ca="1" si="0"/>
        <v/>
      </c>
      <c r="M16" s="44" t="str">
        <f t="shared" ca="1" si="1"/>
        <v/>
      </c>
      <c r="N16" s="10"/>
      <c r="O16" s="10"/>
    </row>
    <row r="17" spans="1:15" x14ac:dyDescent="0.35">
      <c r="A17" s="10"/>
      <c r="B17" s="10"/>
      <c r="C17" s="43" t="str">
        <f>IF(B17="","",IFERROR(INDEX(Findings_Register!$B$6:$B$205,MATCH(B17,Findings_Register!$A$6:$A$205,0)),""))</f>
        <v/>
      </c>
      <c r="D17" s="44" t="str">
        <f>IF(B17="","",IFERROR(INDEX(Findings_Register!$F$6:$F$205,MATCH(B17,Findings_Register!$A$6:$A$205,0)),""))</f>
        <v/>
      </c>
      <c r="E17" s="10"/>
      <c r="F17" s="10"/>
      <c r="G17" s="10"/>
      <c r="H17" s="14"/>
      <c r="I17" s="14"/>
      <c r="J17" s="10"/>
      <c r="K17" s="49"/>
      <c r="L17" s="44" t="str">
        <f t="shared" ca="1" si="0"/>
        <v/>
      </c>
      <c r="M17" s="44" t="str">
        <f t="shared" ca="1" si="1"/>
        <v/>
      </c>
      <c r="N17" s="10"/>
      <c r="O17" s="10"/>
    </row>
    <row r="18" spans="1:15" x14ac:dyDescent="0.35">
      <c r="A18" s="10"/>
      <c r="B18" s="10"/>
      <c r="C18" s="43" t="str">
        <f>IF(B18="","",IFERROR(INDEX(Findings_Register!$B$6:$B$205,MATCH(B18,Findings_Register!$A$6:$A$205,0)),""))</f>
        <v/>
      </c>
      <c r="D18" s="44" t="str">
        <f>IF(B18="","",IFERROR(INDEX(Findings_Register!$F$6:$F$205,MATCH(B18,Findings_Register!$A$6:$A$205,0)),""))</f>
        <v/>
      </c>
      <c r="E18" s="10"/>
      <c r="F18" s="10"/>
      <c r="G18" s="10"/>
      <c r="H18" s="14"/>
      <c r="I18" s="14"/>
      <c r="J18" s="10"/>
      <c r="K18" s="49"/>
      <c r="L18" s="44" t="str">
        <f t="shared" ca="1" si="0"/>
        <v/>
      </c>
      <c r="M18" s="44" t="str">
        <f t="shared" ca="1" si="1"/>
        <v/>
      </c>
      <c r="N18" s="10"/>
      <c r="O18" s="10"/>
    </row>
    <row r="19" spans="1:15" x14ac:dyDescent="0.35">
      <c r="A19" s="10"/>
      <c r="B19" s="10"/>
      <c r="C19" s="43" t="str">
        <f>IF(B19="","",IFERROR(INDEX(Findings_Register!$B$6:$B$205,MATCH(B19,Findings_Register!$A$6:$A$205,0)),""))</f>
        <v/>
      </c>
      <c r="D19" s="44" t="str">
        <f>IF(B19="","",IFERROR(INDEX(Findings_Register!$F$6:$F$205,MATCH(B19,Findings_Register!$A$6:$A$205,0)),""))</f>
        <v/>
      </c>
      <c r="E19" s="10"/>
      <c r="F19" s="10"/>
      <c r="G19" s="10"/>
      <c r="H19" s="14"/>
      <c r="I19" s="14"/>
      <c r="J19" s="10"/>
      <c r="K19" s="49"/>
      <c r="L19" s="44" t="str">
        <f t="shared" ca="1" si="0"/>
        <v/>
      </c>
      <c r="M19" s="44" t="str">
        <f t="shared" ca="1" si="1"/>
        <v/>
      </c>
      <c r="N19" s="10"/>
      <c r="O19" s="10"/>
    </row>
    <row r="20" spans="1:15" x14ac:dyDescent="0.35">
      <c r="A20" s="10"/>
      <c r="B20" s="10"/>
      <c r="C20" s="43" t="str">
        <f>IF(B20="","",IFERROR(INDEX(Findings_Register!$B$6:$B$205,MATCH(B20,Findings_Register!$A$6:$A$205,0)),""))</f>
        <v/>
      </c>
      <c r="D20" s="44" t="str">
        <f>IF(B20="","",IFERROR(INDEX(Findings_Register!$F$6:$F$205,MATCH(B20,Findings_Register!$A$6:$A$205,0)),""))</f>
        <v/>
      </c>
      <c r="E20" s="10"/>
      <c r="F20" s="10"/>
      <c r="G20" s="10"/>
      <c r="H20" s="14"/>
      <c r="I20" s="14"/>
      <c r="J20" s="10"/>
      <c r="K20" s="49"/>
      <c r="L20" s="44" t="str">
        <f t="shared" ca="1" si="0"/>
        <v/>
      </c>
      <c r="M20" s="44" t="str">
        <f t="shared" ca="1" si="1"/>
        <v/>
      </c>
      <c r="N20" s="10"/>
      <c r="O20" s="10"/>
    </row>
    <row r="21" spans="1:15" x14ac:dyDescent="0.35">
      <c r="A21" s="10"/>
      <c r="B21" s="10"/>
      <c r="C21" s="43" t="str">
        <f>IF(B21="","",IFERROR(INDEX(Findings_Register!$B$6:$B$205,MATCH(B21,Findings_Register!$A$6:$A$205,0)),""))</f>
        <v/>
      </c>
      <c r="D21" s="44" t="str">
        <f>IF(B21="","",IFERROR(INDEX(Findings_Register!$F$6:$F$205,MATCH(B21,Findings_Register!$A$6:$A$205,0)),""))</f>
        <v/>
      </c>
      <c r="E21" s="10"/>
      <c r="F21" s="10"/>
      <c r="G21" s="10"/>
      <c r="H21" s="14"/>
      <c r="I21" s="14"/>
      <c r="J21" s="10"/>
      <c r="K21" s="49"/>
      <c r="L21" s="44" t="str">
        <f t="shared" ca="1" si="0"/>
        <v/>
      </c>
      <c r="M21" s="44" t="str">
        <f t="shared" ca="1" si="1"/>
        <v/>
      </c>
      <c r="N21" s="10"/>
      <c r="O21" s="10"/>
    </row>
    <row r="22" spans="1:15" x14ac:dyDescent="0.35">
      <c r="A22" s="10"/>
      <c r="B22" s="10"/>
      <c r="C22" s="43" t="str">
        <f>IF(B22="","",IFERROR(INDEX(Findings_Register!$B$6:$B$205,MATCH(B22,Findings_Register!$A$6:$A$205,0)),""))</f>
        <v/>
      </c>
      <c r="D22" s="44" t="str">
        <f>IF(B22="","",IFERROR(INDEX(Findings_Register!$F$6:$F$205,MATCH(B22,Findings_Register!$A$6:$A$205,0)),""))</f>
        <v/>
      </c>
      <c r="E22" s="10"/>
      <c r="F22" s="10"/>
      <c r="G22" s="10"/>
      <c r="H22" s="14"/>
      <c r="I22" s="14"/>
      <c r="J22" s="10"/>
      <c r="K22" s="49"/>
      <c r="L22" s="44" t="str">
        <f t="shared" ca="1" si="0"/>
        <v/>
      </c>
      <c r="M22" s="44" t="str">
        <f t="shared" ca="1" si="1"/>
        <v/>
      </c>
      <c r="N22" s="10"/>
      <c r="O22" s="10"/>
    </row>
    <row r="23" spans="1:15" x14ac:dyDescent="0.35">
      <c r="A23" s="10"/>
      <c r="B23" s="10"/>
      <c r="C23" s="43" t="str">
        <f>IF(B23="","",IFERROR(INDEX(Findings_Register!$B$6:$B$205,MATCH(B23,Findings_Register!$A$6:$A$205,0)),""))</f>
        <v/>
      </c>
      <c r="D23" s="44" t="str">
        <f>IF(B23="","",IFERROR(INDEX(Findings_Register!$F$6:$F$205,MATCH(B23,Findings_Register!$A$6:$A$205,0)),""))</f>
        <v/>
      </c>
      <c r="E23" s="10"/>
      <c r="F23" s="10"/>
      <c r="G23" s="10"/>
      <c r="H23" s="14"/>
      <c r="I23" s="14"/>
      <c r="J23" s="10"/>
      <c r="K23" s="49"/>
      <c r="L23" s="44" t="str">
        <f t="shared" ca="1" si="0"/>
        <v/>
      </c>
      <c r="M23" s="44" t="str">
        <f t="shared" ca="1" si="1"/>
        <v/>
      </c>
      <c r="N23" s="10"/>
      <c r="O23" s="10"/>
    </row>
    <row r="24" spans="1:15" x14ac:dyDescent="0.35">
      <c r="A24" s="10"/>
      <c r="B24" s="10"/>
      <c r="C24" s="43" t="str">
        <f>IF(B24="","",IFERROR(INDEX(Findings_Register!$B$6:$B$205,MATCH(B24,Findings_Register!$A$6:$A$205,0)),""))</f>
        <v/>
      </c>
      <c r="D24" s="44" t="str">
        <f>IF(B24="","",IFERROR(INDEX(Findings_Register!$F$6:$F$205,MATCH(B24,Findings_Register!$A$6:$A$205,0)),""))</f>
        <v/>
      </c>
      <c r="E24" s="10"/>
      <c r="F24" s="10"/>
      <c r="G24" s="10"/>
      <c r="H24" s="14"/>
      <c r="I24" s="14"/>
      <c r="J24" s="10"/>
      <c r="K24" s="49"/>
      <c r="L24" s="44" t="str">
        <f t="shared" ca="1" si="0"/>
        <v/>
      </c>
      <c r="M24" s="44" t="str">
        <f t="shared" ca="1" si="1"/>
        <v/>
      </c>
      <c r="N24" s="10"/>
      <c r="O24" s="10"/>
    </row>
    <row r="25" spans="1:15" x14ac:dyDescent="0.35">
      <c r="A25" s="10"/>
      <c r="B25" s="10"/>
      <c r="C25" s="43" t="str">
        <f>IF(B25="","",IFERROR(INDEX(Findings_Register!$B$6:$B$205,MATCH(B25,Findings_Register!$A$6:$A$205,0)),""))</f>
        <v/>
      </c>
      <c r="D25" s="44" t="str">
        <f>IF(B25="","",IFERROR(INDEX(Findings_Register!$F$6:$F$205,MATCH(B25,Findings_Register!$A$6:$A$205,0)),""))</f>
        <v/>
      </c>
      <c r="E25" s="10"/>
      <c r="F25" s="10"/>
      <c r="G25" s="10"/>
      <c r="H25" s="14"/>
      <c r="I25" s="14"/>
      <c r="J25" s="10"/>
      <c r="K25" s="49"/>
      <c r="L25" s="44" t="str">
        <f t="shared" ca="1" si="0"/>
        <v/>
      </c>
      <c r="M25" s="44" t="str">
        <f t="shared" ca="1" si="1"/>
        <v/>
      </c>
      <c r="N25" s="10"/>
      <c r="O25" s="10"/>
    </row>
    <row r="26" spans="1:15" x14ac:dyDescent="0.35">
      <c r="A26" s="10"/>
      <c r="B26" s="10"/>
      <c r="C26" s="43" t="str">
        <f>IF(B26="","",IFERROR(INDEX(Findings_Register!$B$6:$B$205,MATCH(B26,Findings_Register!$A$6:$A$205,0)),""))</f>
        <v/>
      </c>
      <c r="D26" s="44" t="str">
        <f>IF(B26="","",IFERROR(INDEX(Findings_Register!$F$6:$F$205,MATCH(B26,Findings_Register!$A$6:$A$205,0)),""))</f>
        <v/>
      </c>
      <c r="E26" s="10"/>
      <c r="F26" s="10"/>
      <c r="G26" s="10"/>
      <c r="H26" s="14"/>
      <c r="I26" s="14"/>
      <c r="J26" s="10"/>
      <c r="K26" s="49"/>
      <c r="L26" s="44" t="str">
        <f t="shared" ca="1" si="0"/>
        <v/>
      </c>
      <c r="M26" s="44" t="str">
        <f t="shared" ca="1" si="1"/>
        <v/>
      </c>
      <c r="N26" s="10"/>
      <c r="O26" s="10"/>
    </row>
    <row r="27" spans="1:15" x14ac:dyDescent="0.35">
      <c r="A27" s="10"/>
      <c r="B27" s="10"/>
      <c r="C27" s="43" t="str">
        <f>IF(B27="","",IFERROR(INDEX(Findings_Register!$B$6:$B$205,MATCH(B27,Findings_Register!$A$6:$A$205,0)),""))</f>
        <v/>
      </c>
      <c r="D27" s="44" t="str">
        <f>IF(B27="","",IFERROR(INDEX(Findings_Register!$F$6:$F$205,MATCH(B27,Findings_Register!$A$6:$A$205,0)),""))</f>
        <v/>
      </c>
      <c r="E27" s="10"/>
      <c r="F27" s="10"/>
      <c r="G27" s="10"/>
      <c r="H27" s="14"/>
      <c r="I27" s="14"/>
      <c r="J27" s="10"/>
      <c r="K27" s="49"/>
      <c r="L27" s="44" t="str">
        <f t="shared" ca="1" si="0"/>
        <v/>
      </c>
      <c r="M27" s="44" t="str">
        <f t="shared" ca="1" si="1"/>
        <v/>
      </c>
      <c r="N27" s="10"/>
      <c r="O27" s="10"/>
    </row>
    <row r="28" spans="1:15" x14ac:dyDescent="0.35">
      <c r="A28" s="10"/>
      <c r="B28" s="10"/>
      <c r="C28" s="43" t="str">
        <f>IF(B28="","",IFERROR(INDEX(Findings_Register!$B$6:$B$205,MATCH(B28,Findings_Register!$A$6:$A$205,0)),""))</f>
        <v/>
      </c>
      <c r="D28" s="44" t="str">
        <f>IF(B28="","",IFERROR(INDEX(Findings_Register!$F$6:$F$205,MATCH(B28,Findings_Register!$A$6:$A$205,0)),""))</f>
        <v/>
      </c>
      <c r="E28" s="10"/>
      <c r="F28" s="10"/>
      <c r="G28" s="10"/>
      <c r="H28" s="14"/>
      <c r="I28" s="14"/>
      <c r="J28" s="10"/>
      <c r="K28" s="49"/>
      <c r="L28" s="44" t="str">
        <f t="shared" ca="1" si="0"/>
        <v/>
      </c>
      <c r="M28" s="44" t="str">
        <f t="shared" ca="1" si="1"/>
        <v/>
      </c>
      <c r="N28" s="10"/>
      <c r="O28" s="10"/>
    </row>
    <row r="29" spans="1:15" x14ac:dyDescent="0.35">
      <c r="A29" s="10"/>
      <c r="B29" s="10"/>
      <c r="C29" s="43" t="str">
        <f>IF(B29="","",IFERROR(INDEX(Findings_Register!$B$6:$B$205,MATCH(B29,Findings_Register!$A$6:$A$205,0)),""))</f>
        <v/>
      </c>
      <c r="D29" s="44" t="str">
        <f>IF(B29="","",IFERROR(INDEX(Findings_Register!$F$6:$F$205,MATCH(B29,Findings_Register!$A$6:$A$205,0)),""))</f>
        <v/>
      </c>
      <c r="E29" s="10"/>
      <c r="F29" s="10"/>
      <c r="G29" s="10"/>
      <c r="H29" s="14"/>
      <c r="I29" s="14"/>
      <c r="J29" s="10"/>
      <c r="K29" s="49"/>
      <c r="L29" s="44" t="str">
        <f t="shared" ca="1" si="0"/>
        <v/>
      </c>
      <c r="M29" s="44" t="str">
        <f t="shared" ca="1" si="1"/>
        <v/>
      </c>
      <c r="N29" s="10"/>
      <c r="O29" s="10"/>
    </row>
    <row r="30" spans="1:15" x14ac:dyDescent="0.35">
      <c r="A30" s="10"/>
      <c r="B30" s="10"/>
      <c r="C30" s="43" t="str">
        <f>IF(B30="","",IFERROR(INDEX(Findings_Register!$B$6:$B$205,MATCH(B30,Findings_Register!$A$6:$A$205,0)),""))</f>
        <v/>
      </c>
      <c r="D30" s="44" t="str">
        <f>IF(B30="","",IFERROR(INDEX(Findings_Register!$F$6:$F$205,MATCH(B30,Findings_Register!$A$6:$A$205,0)),""))</f>
        <v/>
      </c>
      <c r="E30" s="10"/>
      <c r="F30" s="10"/>
      <c r="G30" s="10"/>
      <c r="H30" s="14"/>
      <c r="I30" s="14"/>
      <c r="J30" s="10"/>
      <c r="K30" s="49"/>
      <c r="L30" s="44" t="str">
        <f t="shared" ca="1" si="0"/>
        <v/>
      </c>
      <c r="M30" s="44" t="str">
        <f t="shared" ca="1" si="1"/>
        <v/>
      </c>
      <c r="N30" s="10"/>
      <c r="O30" s="10"/>
    </row>
    <row r="31" spans="1:15" x14ac:dyDescent="0.35">
      <c r="A31" s="10"/>
      <c r="B31" s="10"/>
      <c r="C31" s="43" t="str">
        <f>IF(B31="","",IFERROR(INDEX(Findings_Register!$B$6:$B$205,MATCH(B31,Findings_Register!$A$6:$A$205,0)),""))</f>
        <v/>
      </c>
      <c r="D31" s="44" t="str">
        <f>IF(B31="","",IFERROR(INDEX(Findings_Register!$F$6:$F$205,MATCH(B31,Findings_Register!$A$6:$A$205,0)),""))</f>
        <v/>
      </c>
      <c r="E31" s="10"/>
      <c r="F31" s="10"/>
      <c r="G31" s="10"/>
      <c r="H31" s="14"/>
      <c r="I31" s="14"/>
      <c r="J31" s="10"/>
      <c r="K31" s="49"/>
      <c r="L31" s="44" t="str">
        <f t="shared" ca="1" si="0"/>
        <v/>
      </c>
      <c r="M31" s="44" t="str">
        <f t="shared" ca="1" si="1"/>
        <v/>
      </c>
      <c r="N31" s="10"/>
      <c r="O31" s="10"/>
    </row>
    <row r="32" spans="1:15" x14ac:dyDescent="0.35">
      <c r="A32" s="10"/>
      <c r="B32" s="10"/>
      <c r="C32" s="43" t="str">
        <f>IF(B32="","",IFERROR(INDEX(Findings_Register!$B$6:$B$205,MATCH(B32,Findings_Register!$A$6:$A$205,0)),""))</f>
        <v/>
      </c>
      <c r="D32" s="44" t="str">
        <f>IF(B32="","",IFERROR(INDEX(Findings_Register!$F$6:$F$205,MATCH(B32,Findings_Register!$A$6:$A$205,0)),""))</f>
        <v/>
      </c>
      <c r="E32" s="10"/>
      <c r="F32" s="10"/>
      <c r="G32" s="10"/>
      <c r="H32" s="14"/>
      <c r="I32" s="14"/>
      <c r="J32" s="10"/>
      <c r="K32" s="49"/>
      <c r="L32" s="44" t="str">
        <f t="shared" ca="1" si="0"/>
        <v/>
      </c>
      <c r="M32" s="44" t="str">
        <f t="shared" ca="1" si="1"/>
        <v/>
      </c>
      <c r="N32" s="10"/>
      <c r="O32" s="10"/>
    </row>
    <row r="33" spans="1:15" x14ac:dyDescent="0.35">
      <c r="A33" s="10"/>
      <c r="B33" s="10"/>
      <c r="C33" s="43" t="str">
        <f>IF(B33="","",IFERROR(INDEX(Findings_Register!$B$6:$B$205,MATCH(B33,Findings_Register!$A$6:$A$205,0)),""))</f>
        <v/>
      </c>
      <c r="D33" s="44" t="str">
        <f>IF(B33="","",IFERROR(INDEX(Findings_Register!$F$6:$F$205,MATCH(B33,Findings_Register!$A$6:$A$205,0)),""))</f>
        <v/>
      </c>
      <c r="E33" s="10"/>
      <c r="F33" s="10"/>
      <c r="G33" s="10"/>
      <c r="H33" s="14"/>
      <c r="I33" s="14"/>
      <c r="J33" s="10"/>
      <c r="K33" s="49"/>
      <c r="L33" s="44" t="str">
        <f t="shared" ca="1" si="0"/>
        <v/>
      </c>
      <c r="M33" s="44" t="str">
        <f t="shared" ca="1" si="1"/>
        <v/>
      </c>
      <c r="N33" s="10"/>
      <c r="O33" s="10"/>
    </row>
    <row r="34" spans="1:15" x14ac:dyDescent="0.35">
      <c r="A34" s="10"/>
      <c r="B34" s="10"/>
      <c r="C34" s="43" t="str">
        <f>IF(B34="","",IFERROR(INDEX(Findings_Register!$B$6:$B$205,MATCH(B34,Findings_Register!$A$6:$A$205,0)),""))</f>
        <v/>
      </c>
      <c r="D34" s="44" t="str">
        <f>IF(B34="","",IFERROR(INDEX(Findings_Register!$F$6:$F$205,MATCH(B34,Findings_Register!$A$6:$A$205,0)),""))</f>
        <v/>
      </c>
      <c r="E34" s="10"/>
      <c r="F34" s="10"/>
      <c r="G34" s="10"/>
      <c r="H34" s="14"/>
      <c r="I34" s="14"/>
      <c r="J34" s="10"/>
      <c r="K34" s="49"/>
      <c r="L34" s="44" t="str">
        <f t="shared" ca="1" si="0"/>
        <v/>
      </c>
      <c r="M34" s="44" t="str">
        <f t="shared" ca="1" si="1"/>
        <v/>
      </c>
      <c r="N34" s="10"/>
      <c r="O34" s="10"/>
    </row>
    <row r="35" spans="1:15" x14ac:dyDescent="0.35">
      <c r="A35" s="10"/>
      <c r="B35" s="10"/>
      <c r="C35" s="43" t="str">
        <f>IF(B35="","",IFERROR(INDEX(Findings_Register!$B$6:$B$205,MATCH(B35,Findings_Register!$A$6:$A$205,0)),""))</f>
        <v/>
      </c>
      <c r="D35" s="44" t="str">
        <f>IF(B35="","",IFERROR(INDEX(Findings_Register!$F$6:$F$205,MATCH(B35,Findings_Register!$A$6:$A$205,0)),""))</f>
        <v/>
      </c>
      <c r="E35" s="10"/>
      <c r="F35" s="10"/>
      <c r="G35" s="10"/>
      <c r="H35" s="14"/>
      <c r="I35" s="14"/>
      <c r="J35" s="10"/>
      <c r="K35" s="49"/>
      <c r="L35" s="44" t="str">
        <f t="shared" ca="1" si="0"/>
        <v/>
      </c>
      <c r="M35" s="44" t="str">
        <f t="shared" ca="1" si="1"/>
        <v/>
      </c>
      <c r="N35" s="10"/>
      <c r="O35" s="10"/>
    </row>
    <row r="36" spans="1:15" x14ac:dyDescent="0.35">
      <c r="A36" s="10"/>
      <c r="B36" s="10"/>
      <c r="C36" s="43" t="str">
        <f>IF(B36="","",IFERROR(INDEX(Findings_Register!$B$6:$B$205,MATCH(B36,Findings_Register!$A$6:$A$205,0)),""))</f>
        <v/>
      </c>
      <c r="D36" s="44" t="str">
        <f>IF(B36="","",IFERROR(INDEX(Findings_Register!$F$6:$F$205,MATCH(B36,Findings_Register!$A$6:$A$205,0)),""))</f>
        <v/>
      </c>
      <c r="E36" s="10"/>
      <c r="F36" s="10"/>
      <c r="G36" s="10"/>
      <c r="H36" s="14"/>
      <c r="I36" s="14"/>
      <c r="J36" s="10"/>
      <c r="K36" s="49"/>
      <c r="L36" s="44" t="str">
        <f t="shared" ca="1" si="0"/>
        <v/>
      </c>
      <c r="M36" s="44" t="str">
        <f t="shared" ca="1" si="1"/>
        <v/>
      </c>
      <c r="N36" s="10"/>
      <c r="O36" s="10"/>
    </row>
    <row r="37" spans="1:15" x14ac:dyDescent="0.35">
      <c r="A37" s="10"/>
      <c r="B37" s="10"/>
      <c r="C37" s="43" t="str">
        <f>IF(B37="","",IFERROR(INDEX(Findings_Register!$B$6:$B$205,MATCH(B37,Findings_Register!$A$6:$A$205,0)),""))</f>
        <v/>
      </c>
      <c r="D37" s="44" t="str">
        <f>IF(B37="","",IFERROR(INDEX(Findings_Register!$F$6:$F$205,MATCH(B37,Findings_Register!$A$6:$A$205,0)),""))</f>
        <v/>
      </c>
      <c r="E37" s="10"/>
      <c r="F37" s="10"/>
      <c r="G37" s="10"/>
      <c r="H37" s="14"/>
      <c r="I37" s="14"/>
      <c r="J37" s="10"/>
      <c r="K37" s="49"/>
      <c r="L37" s="44" t="str">
        <f t="shared" ca="1" si="0"/>
        <v/>
      </c>
      <c r="M37" s="44" t="str">
        <f t="shared" ca="1" si="1"/>
        <v/>
      </c>
      <c r="N37" s="10"/>
      <c r="O37" s="10"/>
    </row>
    <row r="38" spans="1:15" x14ac:dyDescent="0.35">
      <c r="A38" s="10"/>
      <c r="B38" s="10"/>
      <c r="C38" s="43" t="str">
        <f>IF(B38="","",IFERROR(INDEX(Findings_Register!$B$6:$B$205,MATCH(B38,Findings_Register!$A$6:$A$205,0)),""))</f>
        <v/>
      </c>
      <c r="D38" s="44" t="str">
        <f>IF(B38="","",IFERROR(INDEX(Findings_Register!$F$6:$F$205,MATCH(B38,Findings_Register!$A$6:$A$205,0)),""))</f>
        <v/>
      </c>
      <c r="E38" s="10"/>
      <c r="F38" s="10"/>
      <c r="G38" s="10"/>
      <c r="H38" s="14"/>
      <c r="I38" s="14"/>
      <c r="J38" s="10"/>
      <c r="K38" s="49"/>
      <c r="L38" s="44" t="str">
        <f t="shared" ca="1" si="0"/>
        <v/>
      </c>
      <c r="M38" s="44" t="str">
        <f t="shared" ca="1" si="1"/>
        <v/>
      </c>
      <c r="N38" s="10"/>
      <c r="O38" s="10"/>
    </row>
    <row r="39" spans="1:15" x14ac:dyDescent="0.35">
      <c r="A39" s="10"/>
      <c r="B39" s="10"/>
      <c r="C39" s="43" t="str">
        <f>IF(B39="","",IFERROR(INDEX(Findings_Register!$B$6:$B$205,MATCH(B39,Findings_Register!$A$6:$A$205,0)),""))</f>
        <v/>
      </c>
      <c r="D39" s="44" t="str">
        <f>IF(B39="","",IFERROR(INDEX(Findings_Register!$F$6:$F$205,MATCH(B39,Findings_Register!$A$6:$A$205,0)),""))</f>
        <v/>
      </c>
      <c r="E39" s="10"/>
      <c r="F39" s="10"/>
      <c r="G39" s="10"/>
      <c r="H39" s="14"/>
      <c r="I39" s="14"/>
      <c r="J39" s="10"/>
      <c r="K39" s="49"/>
      <c r="L39" s="44" t="str">
        <f t="shared" ca="1" si="0"/>
        <v/>
      </c>
      <c r="M39" s="44" t="str">
        <f t="shared" ca="1" si="1"/>
        <v/>
      </c>
      <c r="N39" s="10"/>
      <c r="O39" s="10"/>
    </row>
    <row r="40" spans="1:15" x14ac:dyDescent="0.35">
      <c r="A40" s="10"/>
      <c r="B40" s="10"/>
      <c r="C40" s="43" t="str">
        <f>IF(B40="","",IFERROR(INDEX(Findings_Register!$B$6:$B$205,MATCH(B40,Findings_Register!$A$6:$A$205,0)),""))</f>
        <v/>
      </c>
      <c r="D40" s="44" t="str">
        <f>IF(B40="","",IFERROR(INDEX(Findings_Register!$F$6:$F$205,MATCH(B40,Findings_Register!$A$6:$A$205,0)),""))</f>
        <v/>
      </c>
      <c r="E40" s="10"/>
      <c r="F40" s="10"/>
      <c r="G40" s="10"/>
      <c r="H40" s="14"/>
      <c r="I40" s="14"/>
      <c r="J40" s="10"/>
      <c r="K40" s="49"/>
      <c r="L40" s="44" t="str">
        <f t="shared" ca="1" si="0"/>
        <v/>
      </c>
      <c r="M40" s="44" t="str">
        <f t="shared" ca="1" si="1"/>
        <v/>
      </c>
      <c r="N40" s="10"/>
      <c r="O40" s="10"/>
    </row>
    <row r="41" spans="1:15" x14ac:dyDescent="0.35">
      <c r="A41" s="10"/>
      <c r="B41" s="10"/>
      <c r="C41" s="43" t="str">
        <f>IF(B41="","",IFERROR(INDEX(Findings_Register!$B$6:$B$205,MATCH(B41,Findings_Register!$A$6:$A$205,0)),""))</f>
        <v/>
      </c>
      <c r="D41" s="44" t="str">
        <f>IF(B41="","",IFERROR(INDEX(Findings_Register!$F$6:$F$205,MATCH(B41,Findings_Register!$A$6:$A$205,0)),""))</f>
        <v/>
      </c>
      <c r="E41" s="10"/>
      <c r="F41" s="10"/>
      <c r="G41" s="10"/>
      <c r="H41" s="14"/>
      <c r="I41" s="14"/>
      <c r="J41" s="10"/>
      <c r="K41" s="49"/>
      <c r="L41" s="44" t="str">
        <f t="shared" ca="1" si="0"/>
        <v/>
      </c>
      <c r="M41" s="44" t="str">
        <f t="shared" ca="1" si="1"/>
        <v/>
      </c>
      <c r="N41" s="10"/>
      <c r="O41" s="10"/>
    </row>
    <row r="42" spans="1:15" x14ac:dyDescent="0.35">
      <c r="A42" s="10"/>
      <c r="B42" s="10"/>
      <c r="C42" s="43" t="str">
        <f>IF(B42="","",IFERROR(INDEX(Findings_Register!$B$6:$B$205,MATCH(B42,Findings_Register!$A$6:$A$205,0)),""))</f>
        <v/>
      </c>
      <c r="D42" s="44" t="str">
        <f>IF(B42="","",IFERROR(INDEX(Findings_Register!$F$6:$F$205,MATCH(B42,Findings_Register!$A$6:$A$205,0)),""))</f>
        <v/>
      </c>
      <c r="E42" s="10"/>
      <c r="F42" s="10"/>
      <c r="G42" s="10"/>
      <c r="H42" s="14"/>
      <c r="I42" s="14"/>
      <c r="J42" s="10"/>
      <c r="K42" s="49"/>
      <c r="L42" s="44" t="str">
        <f t="shared" ca="1" si="0"/>
        <v/>
      </c>
      <c r="M42" s="44" t="str">
        <f t="shared" ca="1" si="1"/>
        <v/>
      </c>
      <c r="N42" s="10"/>
      <c r="O42" s="10"/>
    </row>
    <row r="43" spans="1:15" x14ac:dyDescent="0.35">
      <c r="A43" s="10"/>
      <c r="B43" s="10"/>
      <c r="C43" s="43" t="str">
        <f>IF(B43="","",IFERROR(INDEX(Findings_Register!$B$6:$B$205,MATCH(B43,Findings_Register!$A$6:$A$205,0)),""))</f>
        <v/>
      </c>
      <c r="D43" s="44" t="str">
        <f>IF(B43="","",IFERROR(INDEX(Findings_Register!$F$6:$F$205,MATCH(B43,Findings_Register!$A$6:$A$205,0)),""))</f>
        <v/>
      </c>
      <c r="E43" s="10"/>
      <c r="F43" s="10"/>
      <c r="G43" s="10"/>
      <c r="H43" s="14"/>
      <c r="I43" s="14"/>
      <c r="J43" s="10"/>
      <c r="K43" s="49"/>
      <c r="L43" s="44" t="str">
        <f t="shared" ca="1" si="0"/>
        <v/>
      </c>
      <c r="M43" s="44" t="str">
        <f t="shared" ca="1" si="1"/>
        <v/>
      </c>
      <c r="N43" s="10"/>
      <c r="O43" s="10"/>
    </row>
    <row r="44" spans="1:15" x14ac:dyDescent="0.35">
      <c r="A44" s="10"/>
      <c r="B44" s="10"/>
      <c r="C44" s="43" t="str">
        <f>IF(B44="","",IFERROR(INDEX(Findings_Register!$B$6:$B$205,MATCH(B44,Findings_Register!$A$6:$A$205,0)),""))</f>
        <v/>
      </c>
      <c r="D44" s="44" t="str">
        <f>IF(B44="","",IFERROR(INDEX(Findings_Register!$F$6:$F$205,MATCH(B44,Findings_Register!$A$6:$A$205,0)),""))</f>
        <v/>
      </c>
      <c r="E44" s="10"/>
      <c r="F44" s="10"/>
      <c r="G44" s="10"/>
      <c r="H44" s="14"/>
      <c r="I44" s="14"/>
      <c r="J44" s="10"/>
      <c r="K44" s="49"/>
      <c r="L44" s="44" t="str">
        <f t="shared" ca="1" si="0"/>
        <v/>
      </c>
      <c r="M44" s="44" t="str">
        <f t="shared" ca="1" si="1"/>
        <v/>
      </c>
      <c r="N44" s="10"/>
      <c r="O44" s="10"/>
    </row>
    <row r="45" spans="1:15" x14ac:dyDescent="0.35">
      <c r="A45" s="10"/>
      <c r="B45" s="10"/>
      <c r="C45" s="43" t="str">
        <f>IF(B45="","",IFERROR(INDEX(Findings_Register!$B$6:$B$205,MATCH(B45,Findings_Register!$A$6:$A$205,0)),""))</f>
        <v/>
      </c>
      <c r="D45" s="44" t="str">
        <f>IF(B45="","",IFERROR(INDEX(Findings_Register!$F$6:$F$205,MATCH(B45,Findings_Register!$A$6:$A$205,0)),""))</f>
        <v/>
      </c>
      <c r="E45" s="10"/>
      <c r="F45" s="10"/>
      <c r="G45" s="10"/>
      <c r="H45" s="14"/>
      <c r="I45" s="14"/>
      <c r="J45" s="10"/>
      <c r="K45" s="49"/>
      <c r="L45" s="44" t="str">
        <f t="shared" ca="1" si="0"/>
        <v/>
      </c>
      <c r="M45" s="44" t="str">
        <f t="shared" ca="1" si="1"/>
        <v/>
      </c>
      <c r="N45" s="10"/>
      <c r="O45" s="10"/>
    </row>
    <row r="46" spans="1:15" x14ac:dyDescent="0.35">
      <c r="A46" s="10"/>
      <c r="B46" s="10"/>
      <c r="C46" s="43" t="str">
        <f>IF(B46="","",IFERROR(INDEX(Findings_Register!$B$6:$B$205,MATCH(B46,Findings_Register!$A$6:$A$205,0)),""))</f>
        <v/>
      </c>
      <c r="D46" s="44" t="str">
        <f>IF(B46="","",IFERROR(INDEX(Findings_Register!$F$6:$F$205,MATCH(B46,Findings_Register!$A$6:$A$205,0)),""))</f>
        <v/>
      </c>
      <c r="E46" s="10"/>
      <c r="F46" s="10"/>
      <c r="G46" s="10"/>
      <c r="H46" s="14"/>
      <c r="I46" s="14"/>
      <c r="J46" s="10"/>
      <c r="K46" s="49"/>
      <c r="L46" s="44" t="str">
        <f t="shared" ca="1" si="0"/>
        <v/>
      </c>
      <c r="M46" s="44" t="str">
        <f t="shared" ca="1" si="1"/>
        <v/>
      </c>
      <c r="N46" s="10"/>
      <c r="O46" s="10"/>
    </row>
    <row r="47" spans="1:15" x14ac:dyDescent="0.35">
      <c r="A47" s="10"/>
      <c r="B47" s="10"/>
      <c r="C47" s="43" t="str">
        <f>IF(B47="","",IFERROR(INDEX(Findings_Register!$B$6:$B$205,MATCH(B47,Findings_Register!$A$6:$A$205,0)),""))</f>
        <v/>
      </c>
      <c r="D47" s="44" t="str">
        <f>IF(B47="","",IFERROR(INDEX(Findings_Register!$F$6:$F$205,MATCH(B47,Findings_Register!$A$6:$A$205,0)),""))</f>
        <v/>
      </c>
      <c r="E47" s="10"/>
      <c r="F47" s="10"/>
      <c r="G47" s="10"/>
      <c r="H47" s="14"/>
      <c r="I47" s="14"/>
      <c r="J47" s="10"/>
      <c r="K47" s="49"/>
      <c r="L47" s="44" t="str">
        <f t="shared" ca="1" si="0"/>
        <v/>
      </c>
      <c r="M47" s="44" t="str">
        <f t="shared" ca="1" si="1"/>
        <v/>
      </c>
      <c r="N47" s="10"/>
      <c r="O47" s="10"/>
    </row>
    <row r="48" spans="1:15" x14ac:dyDescent="0.35">
      <c r="A48" s="10"/>
      <c r="B48" s="10"/>
      <c r="C48" s="43" t="str">
        <f>IF(B48="","",IFERROR(INDEX(Findings_Register!$B$6:$B$205,MATCH(B48,Findings_Register!$A$6:$A$205,0)),""))</f>
        <v/>
      </c>
      <c r="D48" s="44" t="str">
        <f>IF(B48="","",IFERROR(INDEX(Findings_Register!$F$6:$F$205,MATCH(B48,Findings_Register!$A$6:$A$205,0)),""))</f>
        <v/>
      </c>
      <c r="E48" s="10"/>
      <c r="F48" s="10"/>
      <c r="G48" s="10"/>
      <c r="H48" s="14"/>
      <c r="I48" s="14"/>
      <c r="J48" s="10"/>
      <c r="K48" s="49"/>
      <c r="L48" s="44" t="str">
        <f t="shared" ca="1" si="0"/>
        <v/>
      </c>
      <c r="M48" s="44" t="str">
        <f t="shared" ca="1" si="1"/>
        <v/>
      </c>
      <c r="N48" s="10"/>
      <c r="O48" s="10"/>
    </row>
    <row r="49" spans="1:15" x14ac:dyDescent="0.35">
      <c r="A49" s="10"/>
      <c r="B49" s="10"/>
      <c r="C49" s="43" t="str">
        <f>IF(B49="","",IFERROR(INDEX(Findings_Register!$B$6:$B$205,MATCH(B49,Findings_Register!$A$6:$A$205,0)),""))</f>
        <v/>
      </c>
      <c r="D49" s="44" t="str">
        <f>IF(B49="","",IFERROR(INDEX(Findings_Register!$F$6:$F$205,MATCH(B49,Findings_Register!$A$6:$A$205,0)),""))</f>
        <v/>
      </c>
      <c r="E49" s="10"/>
      <c r="F49" s="10"/>
      <c r="G49" s="10"/>
      <c r="H49" s="14"/>
      <c r="I49" s="14"/>
      <c r="J49" s="10"/>
      <c r="K49" s="49"/>
      <c r="L49" s="44" t="str">
        <f t="shared" ca="1" si="0"/>
        <v/>
      </c>
      <c r="M49" s="44" t="str">
        <f t="shared" ca="1" si="1"/>
        <v/>
      </c>
      <c r="N49" s="10"/>
      <c r="O49" s="10"/>
    </row>
    <row r="50" spans="1:15" x14ac:dyDescent="0.35">
      <c r="A50" s="10"/>
      <c r="B50" s="10"/>
      <c r="C50" s="43" t="str">
        <f>IF(B50="","",IFERROR(INDEX(Findings_Register!$B$6:$B$205,MATCH(B50,Findings_Register!$A$6:$A$205,0)),""))</f>
        <v/>
      </c>
      <c r="D50" s="44" t="str">
        <f>IF(B50="","",IFERROR(INDEX(Findings_Register!$F$6:$F$205,MATCH(B50,Findings_Register!$A$6:$A$205,0)),""))</f>
        <v/>
      </c>
      <c r="E50" s="10"/>
      <c r="F50" s="10"/>
      <c r="G50" s="10"/>
      <c r="H50" s="14"/>
      <c r="I50" s="14"/>
      <c r="J50" s="10"/>
      <c r="K50" s="49"/>
      <c r="L50" s="44" t="str">
        <f t="shared" ca="1" si="0"/>
        <v/>
      </c>
      <c r="M50" s="44" t="str">
        <f t="shared" ca="1" si="1"/>
        <v/>
      </c>
      <c r="N50" s="10"/>
      <c r="O50" s="10"/>
    </row>
    <row r="51" spans="1:15" x14ac:dyDescent="0.35">
      <c r="A51" s="10"/>
      <c r="B51" s="10"/>
      <c r="C51" s="43" t="str">
        <f>IF(B51="","",IFERROR(INDEX(Findings_Register!$B$6:$B$205,MATCH(B51,Findings_Register!$A$6:$A$205,0)),""))</f>
        <v/>
      </c>
      <c r="D51" s="44" t="str">
        <f>IF(B51="","",IFERROR(INDEX(Findings_Register!$F$6:$F$205,MATCH(B51,Findings_Register!$A$6:$A$205,0)),""))</f>
        <v/>
      </c>
      <c r="E51" s="10"/>
      <c r="F51" s="10"/>
      <c r="G51" s="10"/>
      <c r="H51" s="14"/>
      <c r="I51" s="14"/>
      <c r="J51" s="10"/>
      <c r="K51" s="49"/>
      <c r="L51" s="44" t="str">
        <f t="shared" ca="1" si="0"/>
        <v/>
      </c>
      <c r="M51" s="44" t="str">
        <f t="shared" ca="1" si="1"/>
        <v/>
      </c>
      <c r="N51" s="10"/>
      <c r="O51" s="10"/>
    </row>
    <row r="52" spans="1:15" x14ac:dyDescent="0.35">
      <c r="A52" s="10"/>
      <c r="B52" s="10"/>
      <c r="C52" s="43" t="str">
        <f>IF(B52="","",IFERROR(INDEX(Findings_Register!$B$6:$B$205,MATCH(B52,Findings_Register!$A$6:$A$205,0)),""))</f>
        <v/>
      </c>
      <c r="D52" s="44" t="str">
        <f>IF(B52="","",IFERROR(INDEX(Findings_Register!$F$6:$F$205,MATCH(B52,Findings_Register!$A$6:$A$205,0)),""))</f>
        <v/>
      </c>
      <c r="E52" s="10"/>
      <c r="F52" s="10"/>
      <c r="G52" s="10"/>
      <c r="H52" s="14"/>
      <c r="I52" s="14"/>
      <c r="J52" s="10"/>
      <c r="K52" s="49"/>
      <c r="L52" s="44" t="str">
        <f t="shared" ca="1" si="0"/>
        <v/>
      </c>
      <c r="M52" s="44" t="str">
        <f t="shared" ca="1" si="1"/>
        <v/>
      </c>
      <c r="N52" s="10"/>
      <c r="O52" s="10"/>
    </row>
    <row r="53" spans="1:15" x14ac:dyDescent="0.35">
      <c r="A53" s="10"/>
      <c r="B53" s="10"/>
      <c r="C53" s="43" t="str">
        <f>IF(B53="","",IFERROR(INDEX(Findings_Register!$B$6:$B$205,MATCH(B53,Findings_Register!$A$6:$A$205,0)),""))</f>
        <v/>
      </c>
      <c r="D53" s="44" t="str">
        <f>IF(B53="","",IFERROR(INDEX(Findings_Register!$F$6:$F$205,MATCH(B53,Findings_Register!$A$6:$A$205,0)),""))</f>
        <v/>
      </c>
      <c r="E53" s="10"/>
      <c r="F53" s="10"/>
      <c r="G53" s="10"/>
      <c r="H53" s="14"/>
      <c r="I53" s="14"/>
      <c r="J53" s="10"/>
      <c r="K53" s="49"/>
      <c r="L53" s="44" t="str">
        <f t="shared" ca="1" si="0"/>
        <v/>
      </c>
      <c r="M53" s="44" t="str">
        <f t="shared" ca="1" si="1"/>
        <v/>
      </c>
      <c r="N53" s="10"/>
      <c r="O53" s="10"/>
    </row>
    <row r="54" spans="1:15" x14ac:dyDescent="0.35">
      <c r="A54" s="10"/>
      <c r="B54" s="10"/>
      <c r="C54" s="43" t="str">
        <f>IF(B54="","",IFERROR(INDEX(Findings_Register!$B$6:$B$205,MATCH(B54,Findings_Register!$A$6:$A$205,0)),""))</f>
        <v/>
      </c>
      <c r="D54" s="44" t="str">
        <f>IF(B54="","",IFERROR(INDEX(Findings_Register!$F$6:$F$205,MATCH(B54,Findings_Register!$A$6:$A$205,0)),""))</f>
        <v/>
      </c>
      <c r="E54" s="10"/>
      <c r="F54" s="10"/>
      <c r="G54" s="10"/>
      <c r="H54" s="14"/>
      <c r="I54" s="14"/>
      <c r="J54" s="10"/>
      <c r="K54" s="49"/>
      <c r="L54" s="44" t="str">
        <f t="shared" ca="1" si="0"/>
        <v/>
      </c>
      <c r="M54" s="44" t="str">
        <f t="shared" ca="1" si="1"/>
        <v/>
      </c>
      <c r="N54" s="10"/>
      <c r="O54" s="10"/>
    </row>
    <row r="55" spans="1:15" x14ac:dyDescent="0.35">
      <c r="A55" s="10"/>
      <c r="B55" s="10"/>
      <c r="C55" s="43" t="str">
        <f>IF(B55="","",IFERROR(INDEX(Findings_Register!$B$6:$B$205,MATCH(B55,Findings_Register!$A$6:$A$205,0)),""))</f>
        <v/>
      </c>
      <c r="D55" s="44" t="str">
        <f>IF(B55="","",IFERROR(INDEX(Findings_Register!$F$6:$F$205,MATCH(B55,Findings_Register!$A$6:$A$205,0)),""))</f>
        <v/>
      </c>
      <c r="E55" s="10"/>
      <c r="F55" s="10"/>
      <c r="G55" s="10"/>
      <c r="H55" s="14"/>
      <c r="I55" s="14"/>
      <c r="J55" s="10"/>
      <c r="K55" s="49"/>
      <c r="L55" s="44" t="str">
        <f t="shared" ca="1" si="0"/>
        <v/>
      </c>
      <c r="M55" s="44" t="str">
        <f t="shared" ca="1" si="1"/>
        <v/>
      </c>
      <c r="N55" s="10"/>
      <c r="O55" s="10"/>
    </row>
    <row r="56" spans="1:15" x14ac:dyDescent="0.35">
      <c r="A56" s="10"/>
      <c r="B56" s="10"/>
      <c r="C56" s="43" t="str">
        <f>IF(B56="","",IFERROR(INDEX(Findings_Register!$B$6:$B$205,MATCH(B56,Findings_Register!$A$6:$A$205,0)),""))</f>
        <v/>
      </c>
      <c r="D56" s="44" t="str">
        <f>IF(B56="","",IFERROR(INDEX(Findings_Register!$F$6:$F$205,MATCH(B56,Findings_Register!$A$6:$A$205,0)),""))</f>
        <v/>
      </c>
      <c r="E56" s="10"/>
      <c r="F56" s="10"/>
      <c r="G56" s="10"/>
      <c r="H56" s="14"/>
      <c r="I56" s="14"/>
      <c r="J56" s="10"/>
      <c r="K56" s="49"/>
      <c r="L56" s="44" t="str">
        <f t="shared" ca="1" si="0"/>
        <v/>
      </c>
      <c r="M56" s="44" t="str">
        <f t="shared" ca="1" si="1"/>
        <v/>
      </c>
      <c r="N56" s="10"/>
      <c r="O56" s="10"/>
    </row>
    <row r="57" spans="1:15" x14ac:dyDescent="0.35">
      <c r="A57" s="10"/>
      <c r="B57" s="10"/>
      <c r="C57" s="43" t="str">
        <f>IF(B57="","",IFERROR(INDEX(Findings_Register!$B$6:$B$205,MATCH(B57,Findings_Register!$A$6:$A$205,0)),""))</f>
        <v/>
      </c>
      <c r="D57" s="44" t="str">
        <f>IF(B57="","",IFERROR(INDEX(Findings_Register!$F$6:$F$205,MATCH(B57,Findings_Register!$A$6:$A$205,0)),""))</f>
        <v/>
      </c>
      <c r="E57" s="10"/>
      <c r="F57" s="10"/>
      <c r="G57" s="10"/>
      <c r="H57" s="14"/>
      <c r="I57" s="14"/>
      <c r="J57" s="10"/>
      <c r="K57" s="49"/>
      <c r="L57" s="44" t="str">
        <f t="shared" ca="1" si="0"/>
        <v/>
      </c>
      <c r="M57" s="44" t="str">
        <f t="shared" ca="1" si="1"/>
        <v/>
      </c>
      <c r="N57" s="10"/>
      <c r="O57" s="10"/>
    </row>
    <row r="58" spans="1:15" x14ac:dyDescent="0.35">
      <c r="A58" s="10"/>
      <c r="B58" s="10"/>
      <c r="C58" s="43" t="str">
        <f>IF(B58="","",IFERROR(INDEX(Findings_Register!$B$6:$B$205,MATCH(B58,Findings_Register!$A$6:$A$205,0)),""))</f>
        <v/>
      </c>
      <c r="D58" s="44" t="str">
        <f>IF(B58="","",IFERROR(INDEX(Findings_Register!$F$6:$F$205,MATCH(B58,Findings_Register!$A$6:$A$205,0)),""))</f>
        <v/>
      </c>
      <c r="E58" s="10"/>
      <c r="F58" s="10"/>
      <c r="G58" s="10"/>
      <c r="H58" s="14"/>
      <c r="I58" s="14"/>
      <c r="J58" s="10"/>
      <c r="K58" s="49"/>
      <c r="L58" s="44" t="str">
        <f t="shared" ca="1" si="0"/>
        <v/>
      </c>
      <c r="M58" s="44" t="str">
        <f t="shared" ca="1" si="1"/>
        <v/>
      </c>
      <c r="N58" s="10"/>
      <c r="O58" s="10"/>
    </row>
    <row r="59" spans="1:15" x14ac:dyDescent="0.35">
      <c r="A59" s="10"/>
      <c r="B59" s="10"/>
      <c r="C59" s="43" t="str">
        <f>IF(B59="","",IFERROR(INDEX(Findings_Register!$B$6:$B$205,MATCH(B59,Findings_Register!$A$6:$A$205,0)),""))</f>
        <v/>
      </c>
      <c r="D59" s="44" t="str">
        <f>IF(B59="","",IFERROR(INDEX(Findings_Register!$F$6:$F$205,MATCH(B59,Findings_Register!$A$6:$A$205,0)),""))</f>
        <v/>
      </c>
      <c r="E59" s="10"/>
      <c r="F59" s="10"/>
      <c r="G59" s="10"/>
      <c r="H59" s="14"/>
      <c r="I59" s="14"/>
      <c r="J59" s="10"/>
      <c r="K59" s="49"/>
      <c r="L59" s="44" t="str">
        <f t="shared" ca="1" si="0"/>
        <v/>
      </c>
      <c r="M59" s="44" t="str">
        <f t="shared" ca="1" si="1"/>
        <v/>
      </c>
      <c r="N59" s="10"/>
      <c r="O59" s="10"/>
    </row>
    <row r="60" spans="1:15" x14ac:dyDescent="0.35">
      <c r="A60" s="10"/>
      <c r="B60" s="10"/>
      <c r="C60" s="43" t="str">
        <f>IF(B60="","",IFERROR(INDEX(Findings_Register!$B$6:$B$205,MATCH(B60,Findings_Register!$A$6:$A$205,0)),""))</f>
        <v/>
      </c>
      <c r="D60" s="44" t="str">
        <f>IF(B60="","",IFERROR(INDEX(Findings_Register!$F$6:$F$205,MATCH(B60,Findings_Register!$A$6:$A$205,0)),""))</f>
        <v/>
      </c>
      <c r="E60" s="10"/>
      <c r="F60" s="10"/>
      <c r="G60" s="10"/>
      <c r="H60" s="14"/>
      <c r="I60" s="14"/>
      <c r="J60" s="10"/>
      <c r="K60" s="49"/>
      <c r="L60" s="44" t="str">
        <f t="shared" ca="1" si="0"/>
        <v/>
      </c>
      <c r="M60" s="44" t="str">
        <f t="shared" ca="1" si="1"/>
        <v/>
      </c>
      <c r="N60" s="10"/>
      <c r="O60" s="10"/>
    </row>
    <row r="61" spans="1:15" x14ac:dyDescent="0.35">
      <c r="A61" s="10"/>
      <c r="B61" s="10"/>
      <c r="C61" s="43" t="str">
        <f>IF(B61="","",IFERROR(INDEX(Findings_Register!$B$6:$B$205,MATCH(B61,Findings_Register!$A$6:$A$205,0)),""))</f>
        <v/>
      </c>
      <c r="D61" s="44" t="str">
        <f>IF(B61="","",IFERROR(INDEX(Findings_Register!$F$6:$F$205,MATCH(B61,Findings_Register!$A$6:$A$205,0)),""))</f>
        <v/>
      </c>
      <c r="E61" s="10"/>
      <c r="F61" s="10"/>
      <c r="G61" s="10"/>
      <c r="H61" s="14"/>
      <c r="I61" s="14"/>
      <c r="J61" s="10"/>
      <c r="K61" s="49"/>
      <c r="L61" s="44" t="str">
        <f t="shared" ca="1" si="0"/>
        <v/>
      </c>
      <c r="M61" s="44" t="str">
        <f t="shared" ca="1" si="1"/>
        <v/>
      </c>
      <c r="N61" s="10"/>
      <c r="O61" s="10"/>
    </row>
    <row r="62" spans="1:15" x14ac:dyDescent="0.35">
      <c r="A62" s="10"/>
      <c r="B62" s="10"/>
      <c r="C62" s="43" t="str">
        <f>IF(B62="","",IFERROR(INDEX(Findings_Register!$B$6:$B$205,MATCH(B62,Findings_Register!$A$6:$A$205,0)),""))</f>
        <v/>
      </c>
      <c r="D62" s="44" t="str">
        <f>IF(B62="","",IFERROR(INDEX(Findings_Register!$F$6:$F$205,MATCH(B62,Findings_Register!$A$6:$A$205,0)),""))</f>
        <v/>
      </c>
      <c r="E62" s="10"/>
      <c r="F62" s="10"/>
      <c r="G62" s="10"/>
      <c r="H62" s="14"/>
      <c r="I62" s="14"/>
      <c r="J62" s="10"/>
      <c r="K62" s="49"/>
      <c r="L62" s="44" t="str">
        <f t="shared" ca="1" si="0"/>
        <v/>
      </c>
      <c r="M62" s="44" t="str">
        <f t="shared" ca="1" si="1"/>
        <v/>
      </c>
      <c r="N62" s="10"/>
      <c r="O62" s="10"/>
    </row>
    <row r="63" spans="1:15" x14ac:dyDescent="0.35">
      <c r="A63" s="10"/>
      <c r="B63" s="10"/>
      <c r="C63" s="43" t="str">
        <f>IF(B63="","",IFERROR(INDEX(Findings_Register!$B$6:$B$205,MATCH(B63,Findings_Register!$A$6:$A$205,0)),""))</f>
        <v/>
      </c>
      <c r="D63" s="44" t="str">
        <f>IF(B63="","",IFERROR(INDEX(Findings_Register!$F$6:$F$205,MATCH(B63,Findings_Register!$A$6:$A$205,0)),""))</f>
        <v/>
      </c>
      <c r="E63" s="10"/>
      <c r="F63" s="10"/>
      <c r="G63" s="10"/>
      <c r="H63" s="14"/>
      <c r="I63" s="14"/>
      <c r="J63" s="10"/>
      <c r="K63" s="49"/>
      <c r="L63" s="44" t="str">
        <f t="shared" ca="1" si="0"/>
        <v/>
      </c>
      <c r="M63" s="44" t="str">
        <f t="shared" ca="1" si="1"/>
        <v/>
      </c>
      <c r="N63" s="10"/>
      <c r="O63" s="10"/>
    </row>
    <row r="64" spans="1:15" x14ac:dyDescent="0.35">
      <c r="A64" s="10"/>
      <c r="B64" s="10"/>
      <c r="C64" s="43" t="str">
        <f>IF(B64="","",IFERROR(INDEX(Findings_Register!$B$6:$B$205,MATCH(B64,Findings_Register!$A$6:$A$205,0)),""))</f>
        <v/>
      </c>
      <c r="D64" s="44" t="str">
        <f>IF(B64="","",IFERROR(INDEX(Findings_Register!$F$6:$F$205,MATCH(B64,Findings_Register!$A$6:$A$205,0)),""))</f>
        <v/>
      </c>
      <c r="E64" s="10"/>
      <c r="F64" s="10"/>
      <c r="G64" s="10"/>
      <c r="H64" s="14"/>
      <c r="I64" s="14"/>
      <c r="J64" s="10"/>
      <c r="K64" s="49"/>
      <c r="L64" s="44" t="str">
        <f t="shared" ca="1" si="0"/>
        <v/>
      </c>
      <c r="M64" s="44" t="str">
        <f t="shared" ca="1" si="1"/>
        <v/>
      </c>
      <c r="N64" s="10"/>
      <c r="O64" s="10"/>
    </row>
    <row r="65" spans="1:15" x14ac:dyDescent="0.35">
      <c r="A65" s="10"/>
      <c r="B65" s="10"/>
      <c r="C65" s="43" t="str">
        <f>IF(B65="","",IFERROR(INDEX(Findings_Register!$B$6:$B$205,MATCH(B65,Findings_Register!$A$6:$A$205,0)),""))</f>
        <v/>
      </c>
      <c r="D65" s="44" t="str">
        <f>IF(B65="","",IFERROR(INDEX(Findings_Register!$F$6:$F$205,MATCH(B65,Findings_Register!$A$6:$A$205,0)),""))</f>
        <v/>
      </c>
      <c r="E65" s="10"/>
      <c r="F65" s="10"/>
      <c r="G65" s="10"/>
      <c r="H65" s="14"/>
      <c r="I65" s="14"/>
      <c r="J65" s="10"/>
      <c r="K65" s="49"/>
      <c r="L65" s="44" t="str">
        <f t="shared" ca="1" si="0"/>
        <v/>
      </c>
      <c r="M65" s="44" t="str">
        <f t="shared" ca="1" si="1"/>
        <v/>
      </c>
      <c r="N65" s="10"/>
      <c r="O65" s="10"/>
    </row>
    <row r="66" spans="1:15" x14ac:dyDescent="0.35">
      <c r="A66" s="10"/>
      <c r="B66" s="10"/>
      <c r="C66" s="43" t="str">
        <f>IF(B66="","",IFERROR(INDEX(Findings_Register!$B$6:$B$205,MATCH(B66,Findings_Register!$A$6:$A$205,0)),""))</f>
        <v/>
      </c>
      <c r="D66" s="44" t="str">
        <f>IF(B66="","",IFERROR(INDEX(Findings_Register!$F$6:$F$205,MATCH(B66,Findings_Register!$A$6:$A$205,0)),""))</f>
        <v/>
      </c>
      <c r="E66" s="10"/>
      <c r="F66" s="10"/>
      <c r="G66" s="10"/>
      <c r="H66" s="14"/>
      <c r="I66" s="14"/>
      <c r="J66" s="10"/>
      <c r="K66" s="49"/>
      <c r="L66" s="44" t="str">
        <f t="shared" ca="1" si="0"/>
        <v/>
      </c>
      <c r="M66" s="44" t="str">
        <f t="shared" ca="1" si="1"/>
        <v/>
      </c>
      <c r="N66" s="10"/>
      <c r="O66" s="10"/>
    </row>
    <row r="67" spans="1:15" x14ac:dyDescent="0.35">
      <c r="A67" s="10"/>
      <c r="B67" s="10"/>
      <c r="C67" s="43" t="str">
        <f>IF(B67="","",IFERROR(INDEX(Findings_Register!$B$6:$B$205,MATCH(B67,Findings_Register!$A$6:$A$205,0)),""))</f>
        <v/>
      </c>
      <c r="D67" s="44" t="str">
        <f>IF(B67="","",IFERROR(INDEX(Findings_Register!$F$6:$F$205,MATCH(B67,Findings_Register!$A$6:$A$205,0)),""))</f>
        <v/>
      </c>
      <c r="E67" s="10"/>
      <c r="F67" s="10"/>
      <c r="G67" s="10"/>
      <c r="H67" s="14"/>
      <c r="I67" s="14"/>
      <c r="J67" s="10"/>
      <c r="K67" s="49"/>
      <c r="L67" s="44" t="str">
        <f t="shared" ca="1" si="0"/>
        <v/>
      </c>
      <c r="M67" s="44" t="str">
        <f t="shared" ca="1" si="1"/>
        <v/>
      </c>
      <c r="N67" s="10"/>
      <c r="O67" s="10"/>
    </row>
    <row r="68" spans="1:15" x14ac:dyDescent="0.35">
      <c r="A68" s="10"/>
      <c r="B68" s="10"/>
      <c r="C68" s="43" t="str">
        <f>IF(B68="","",IFERROR(INDEX(Findings_Register!$B$6:$B$205,MATCH(B68,Findings_Register!$A$6:$A$205,0)),""))</f>
        <v/>
      </c>
      <c r="D68" s="44" t="str">
        <f>IF(B68="","",IFERROR(INDEX(Findings_Register!$F$6:$F$205,MATCH(B68,Findings_Register!$A$6:$A$205,0)),""))</f>
        <v/>
      </c>
      <c r="E68" s="10"/>
      <c r="F68" s="10"/>
      <c r="G68" s="10"/>
      <c r="H68" s="14"/>
      <c r="I68" s="14"/>
      <c r="J68" s="10"/>
      <c r="K68" s="49"/>
      <c r="L68" s="44" t="str">
        <f t="shared" ca="1" si="0"/>
        <v/>
      </c>
      <c r="M68" s="44" t="str">
        <f t="shared" ca="1" si="1"/>
        <v/>
      </c>
      <c r="N68" s="10"/>
      <c r="O68" s="10"/>
    </row>
    <row r="69" spans="1:15" x14ac:dyDescent="0.35">
      <c r="A69" s="10"/>
      <c r="B69" s="10"/>
      <c r="C69" s="43" t="str">
        <f>IF(B69="","",IFERROR(INDEX(Findings_Register!$B$6:$B$205,MATCH(B69,Findings_Register!$A$6:$A$205,0)),""))</f>
        <v/>
      </c>
      <c r="D69" s="44" t="str">
        <f>IF(B69="","",IFERROR(INDEX(Findings_Register!$F$6:$F$205,MATCH(B69,Findings_Register!$A$6:$A$205,0)),""))</f>
        <v/>
      </c>
      <c r="E69" s="10"/>
      <c r="F69" s="10"/>
      <c r="G69" s="10"/>
      <c r="H69" s="14"/>
      <c r="I69" s="14"/>
      <c r="J69" s="10"/>
      <c r="K69" s="49"/>
      <c r="L69" s="44" t="str">
        <f t="shared" ref="L69:L132" ca="1" si="2">IF(OR(I69="",J69="Completed",J69="Verified"),"",I69-TODAY())</f>
        <v/>
      </c>
      <c r="M69" s="44" t="str">
        <f t="shared" ref="M69:M132" ca="1" si="3">IF(OR(J69="Completed",J69="Verified"),"Done",IF(I69="","",IF(TODAY()&gt;I69,"Overdue",IF(I69-TODAY()&lt;=14,"Due within 14d","On track"))))</f>
        <v/>
      </c>
      <c r="N69" s="10"/>
      <c r="O69" s="10"/>
    </row>
    <row r="70" spans="1:15" x14ac:dyDescent="0.35">
      <c r="A70" s="10"/>
      <c r="B70" s="10"/>
      <c r="C70" s="43" t="str">
        <f>IF(B70="","",IFERROR(INDEX(Findings_Register!$B$6:$B$205,MATCH(B70,Findings_Register!$A$6:$A$205,0)),""))</f>
        <v/>
      </c>
      <c r="D70" s="44" t="str">
        <f>IF(B70="","",IFERROR(INDEX(Findings_Register!$F$6:$F$205,MATCH(B70,Findings_Register!$A$6:$A$205,0)),""))</f>
        <v/>
      </c>
      <c r="E70" s="10"/>
      <c r="F70" s="10"/>
      <c r="G70" s="10"/>
      <c r="H70" s="14"/>
      <c r="I70" s="14"/>
      <c r="J70" s="10"/>
      <c r="K70" s="49"/>
      <c r="L70" s="44" t="str">
        <f t="shared" ca="1" si="2"/>
        <v/>
      </c>
      <c r="M70" s="44" t="str">
        <f t="shared" ca="1" si="3"/>
        <v/>
      </c>
      <c r="N70" s="10"/>
      <c r="O70" s="10"/>
    </row>
    <row r="71" spans="1:15" x14ac:dyDescent="0.35">
      <c r="A71" s="10"/>
      <c r="B71" s="10"/>
      <c r="C71" s="43" t="str">
        <f>IF(B71="","",IFERROR(INDEX(Findings_Register!$B$6:$B$205,MATCH(B71,Findings_Register!$A$6:$A$205,0)),""))</f>
        <v/>
      </c>
      <c r="D71" s="44" t="str">
        <f>IF(B71="","",IFERROR(INDEX(Findings_Register!$F$6:$F$205,MATCH(B71,Findings_Register!$A$6:$A$205,0)),""))</f>
        <v/>
      </c>
      <c r="E71" s="10"/>
      <c r="F71" s="10"/>
      <c r="G71" s="10"/>
      <c r="H71" s="14"/>
      <c r="I71" s="14"/>
      <c r="J71" s="10"/>
      <c r="K71" s="49"/>
      <c r="L71" s="44" t="str">
        <f t="shared" ca="1" si="2"/>
        <v/>
      </c>
      <c r="M71" s="44" t="str">
        <f t="shared" ca="1" si="3"/>
        <v/>
      </c>
      <c r="N71" s="10"/>
      <c r="O71" s="10"/>
    </row>
    <row r="72" spans="1:15" x14ac:dyDescent="0.35">
      <c r="A72" s="10"/>
      <c r="B72" s="10"/>
      <c r="C72" s="43" t="str">
        <f>IF(B72="","",IFERROR(INDEX(Findings_Register!$B$6:$B$205,MATCH(B72,Findings_Register!$A$6:$A$205,0)),""))</f>
        <v/>
      </c>
      <c r="D72" s="44" t="str">
        <f>IF(B72="","",IFERROR(INDEX(Findings_Register!$F$6:$F$205,MATCH(B72,Findings_Register!$A$6:$A$205,0)),""))</f>
        <v/>
      </c>
      <c r="E72" s="10"/>
      <c r="F72" s="10"/>
      <c r="G72" s="10"/>
      <c r="H72" s="14"/>
      <c r="I72" s="14"/>
      <c r="J72" s="10"/>
      <c r="K72" s="49"/>
      <c r="L72" s="44" t="str">
        <f t="shared" ca="1" si="2"/>
        <v/>
      </c>
      <c r="M72" s="44" t="str">
        <f t="shared" ca="1" si="3"/>
        <v/>
      </c>
      <c r="N72" s="10"/>
      <c r="O72" s="10"/>
    </row>
    <row r="73" spans="1:15" x14ac:dyDescent="0.35">
      <c r="A73" s="10"/>
      <c r="B73" s="10"/>
      <c r="C73" s="43" t="str">
        <f>IF(B73="","",IFERROR(INDEX(Findings_Register!$B$6:$B$205,MATCH(B73,Findings_Register!$A$6:$A$205,0)),""))</f>
        <v/>
      </c>
      <c r="D73" s="44" t="str">
        <f>IF(B73="","",IFERROR(INDEX(Findings_Register!$F$6:$F$205,MATCH(B73,Findings_Register!$A$6:$A$205,0)),""))</f>
        <v/>
      </c>
      <c r="E73" s="10"/>
      <c r="F73" s="10"/>
      <c r="G73" s="10"/>
      <c r="H73" s="14"/>
      <c r="I73" s="14"/>
      <c r="J73" s="10"/>
      <c r="K73" s="49"/>
      <c r="L73" s="44" t="str">
        <f t="shared" ca="1" si="2"/>
        <v/>
      </c>
      <c r="M73" s="44" t="str">
        <f t="shared" ca="1" si="3"/>
        <v/>
      </c>
      <c r="N73" s="10"/>
      <c r="O73" s="10"/>
    </row>
    <row r="74" spans="1:15" x14ac:dyDescent="0.35">
      <c r="A74" s="10"/>
      <c r="B74" s="10"/>
      <c r="C74" s="43" t="str">
        <f>IF(B74="","",IFERROR(INDEX(Findings_Register!$B$6:$B$205,MATCH(B74,Findings_Register!$A$6:$A$205,0)),""))</f>
        <v/>
      </c>
      <c r="D74" s="44" t="str">
        <f>IF(B74="","",IFERROR(INDEX(Findings_Register!$F$6:$F$205,MATCH(B74,Findings_Register!$A$6:$A$205,0)),""))</f>
        <v/>
      </c>
      <c r="E74" s="10"/>
      <c r="F74" s="10"/>
      <c r="G74" s="10"/>
      <c r="H74" s="14"/>
      <c r="I74" s="14"/>
      <c r="J74" s="10"/>
      <c r="K74" s="49"/>
      <c r="L74" s="44" t="str">
        <f t="shared" ca="1" si="2"/>
        <v/>
      </c>
      <c r="M74" s="44" t="str">
        <f t="shared" ca="1" si="3"/>
        <v/>
      </c>
      <c r="N74" s="10"/>
      <c r="O74" s="10"/>
    </row>
    <row r="75" spans="1:15" x14ac:dyDescent="0.35">
      <c r="A75" s="10"/>
      <c r="B75" s="10"/>
      <c r="C75" s="43" t="str">
        <f>IF(B75="","",IFERROR(INDEX(Findings_Register!$B$6:$B$205,MATCH(B75,Findings_Register!$A$6:$A$205,0)),""))</f>
        <v/>
      </c>
      <c r="D75" s="44" t="str">
        <f>IF(B75="","",IFERROR(INDEX(Findings_Register!$F$6:$F$205,MATCH(B75,Findings_Register!$A$6:$A$205,0)),""))</f>
        <v/>
      </c>
      <c r="E75" s="10"/>
      <c r="F75" s="10"/>
      <c r="G75" s="10"/>
      <c r="H75" s="14"/>
      <c r="I75" s="14"/>
      <c r="J75" s="10"/>
      <c r="K75" s="49"/>
      <c r="L75" s="44" t="str">
        <f t="shared" ca="1" si="2"/>
        <v/>
      </c>
      <c r="M75" s="44" t="str">
        <f t="shared" ca="1" si="3"/>
        <v/>
      </c>
      <c r="N75" s="10"/>
      <c r="O75" s="10"/>
    </row>
    <row r="76" spans="1:15" x14ac:dyDescent="0.35">
      <c r="A76" s="10"/>
      <c r="B76" s="10"/>
      <c r="C76" s="43" t="str">
        <f>IF(B76="","",IFERROR(INDEX(Findings_Register!$B$6:$B$205,MATCH(B76,Findings_Register!$A$6:$A$205,0)),""))</f>
        <v/>
      </c>
      <c r="D76" s="44" t="str">
        <f>IF(B76="","",IFERROR(INDEX(Findings_Register!$F$6:$F$205,MATCH(B76,Findings_Register!$A$6:$A$205,0)),""))</f>
        <v/>
      </c>
      <c r="E76" s="10"/>
      <c r="F76" s="10"/>
      <c r="G76" s="10"/>
      <c r="H76" s="14"/>
      <c r="I76" s="14"/>
      <c r="J76" s="10"/>
      <c r="K76" s="49"/>
      <c r="L76" s="44" t="str">
        <f t="shared" ca="1" si="2"/>
        <v/>
      </c>
      <c r="M76" s="44" t="str">
        <f t="shared" ca="1" si="3"/>
        <v/>
      </c>
      <c r="N76" s="10"/>
      <c r="O76" s="10"/>
    </row>
    <row r="77" spans="1:15" x14ac:dyDescent="0.35">
      <c r="A77" s="10"/>
      <c r="B77" s="10"/>
      <c r="C77" s="43" t="str">
        <f>IF(B77="","",IFERROR(INDEX(Findings_Register!$B$6:$B$205,MATCH(B77,Findings_Register!$A$6:$A$205,0)),""))</f>
        <v/>
      </c>
      <c r="D77" s="44" t="str">
        <f>IF(B77="","",IFERROR(INDEX(Findings_Register!$F$6:$F$205,MATCH(B77,Findings_Register!$A$6:$A$205,0)),""))</f>
        <v/>
      </c>
      <c r="E77" s="10"/>
      <c r="F77" s="10"/>
      <c r="G77" s="10"/>
      <c r="H77" s="14"/>
      <c r="I77" s="14"/>
      <c r="J77" s="10"/>
      <c r="K77" s="49"/>
      <c r="L77" s="44" t="str">
        <f t="shared" ca="1" si="2"/>
        <v/>
      </c>
      <c r="M77" s="44" t="str">
        <f t="shared" ca="1" si="3"/>
        <v/>
      </c>
      <c r="N77" s="10"/>
      <c r="O77" s="10"/>
    </row>
    <row r="78" spans="1:15" x14ac:dyDescent="0.35">
      <c r="A78" s="10"/>
      <c r="B78" s="10"/>
      <c r="C78" s="43" t="str">
        <f>IF(B78="","",IFERROR(INDEX(Findings_Register!$B$6:$B$205,MATCH(B78,Findings_Register!$A$6:$A$205,0)),""))</f>
        <v/>
      </c>
      <c r="D78" s="44" t="str">
        <f>IF(B78="","",IFERROR(INDEX(Findings_Register!$F$6:$F$205,MATCH(B78,Findings_Register!$A$6:$A$205,0)),""))</f>
        <v/>
      </c>
      <c r="E78" s="10"/>
      <c r="F78" s="10"/>
      <c r="G78" s="10"/>
      <c r="H78" s="14"/>
      <c r="I78" s="14"/>
      <c r="J78" s="10"/>
      <c r="K78" s="49"/>
      <c r="L78" s="44" t="str">
        <f t="shared" ca="1" si="2"/>
        <v/>
      </c>
      <c r="M78" s="44" t="str">
        <f t="shared" ca="1" si="3"/>
        <v/>
      </c>
      <c r="N78" s="10"/>
      <c r="O78" s="10"/>
    </row>
    <row r="79" spans="1:15" x14ac:dyDescent="0.35">
      <c r="A79" s="10"/>
      <c r="B79" s="10"/>
      <c r="C79" s="43" t="str">
        <f>IF(B79="","",IFERROR(INDEX(Findings_Register!$B$6:$B$205,MATCH(B79,Findings_Register!$A$6:$A$205,0)),""))</f>
        <v/>
      </c>
      <c r="D79" s="44" t="str">
        <f>IF(B79="","",IFERROR(INDEX(Findings_Register!$F$6:$F$205,MATCH(B79,Findings_Register!$A$6:$A$205,0)),""))</f>
        <v/>
      </c>
      <c r="E79" s="10"/>
      <c r="F79" s="10"/>
      <c r="G79" s="10"/>
      <c r="H79" s="14"/>
      <c r="I79" s="14"/>
      <c r="J79" s="10"/>
      <c r="K79" s="49"/>
      <c r="L79" s="44" t="str">
        <f t="shared" ca="1" si="2"/>
        <v/>
      </c>
      <c r="M79" s="44" t="str">
        <f t="shared" ca="1" si="3"/>
        <v/>
      </c>
      <c r="N79" s="10"/>
      <c r="O79" s="10"/>
    </row>
    <row r="80" spans="1:15" x14ac:dyDescent="0.35">
      <c r="A80" s="10"/>
      <c r="B80" s="10"/>
      <c r="C80" s="43" t="str">
        <f>IF(B80="","",IFERROR(INDEX(Findings_Register!$B$6:$B$205,MATCH(B80,Findings_Register!$A$6:$A$205,0)),""))</f>
        <v/>
      </c>
      <c r="D80" s="44" t="str">
        <f>IF(B80="","",IFERROR(INDEX(Findings_Register!$F$6:$F$205,MATCH(B80,Findings_Register!$A$6:$A$205,0)),""))</f>
        <v/>
      </c>
      <c r="E80" s="10"/>
      <c r="F80" s="10"/>
      <c r="G80" s="10"/>
      <c r="H80" s="14"/>
      <c r="I80" s="14"/>
      <c r="J80" s="10"/>
      <c r="K80" s="49"/>
      <c r="L80" s="44" t="str">
        <f t="shared" ca="1" si="2"/>
        <v/>
      </c>
      <c r="M80" s="44" t="str">
        <f t="shared" ca="1" si="3"/>
        <v/>
      </c>
      <c r="N80" s="10"/>
      <c r="O80" s="10"/>
    </row>
    <row r="81" spans="1:15" x14ac:dyDescent="0.35">
      <c r="A81" s="10"/>
      <c r="B81" s="10"/>
      <c r="C81" s="43" t="str">
        <f>IF(B81="","",IFERROR(INDEX(Findings_Register!$B$6:$B$205,MATCH(B81,Findings_Register!$A$6:$A$205,0)),""))</f>
        <v/>
      </c>
      <c r="D81" s="44" t="str">
        <f>IF(B81="","",IFERROR(INDEX(Findings_Register!$F$6:$F$205,MATCH(B81,Findings_Register!$A$6:$A$205,0)),""))</f>
        <v/>
      </c>
      <c r="E81" s="10"/>
      <c r="F81" s="10"/>
      <c r="G81" s="10"/>
      <c r="H81" s="14"/>
      <c r="I81" s="14"/>
      <c r="J81" s="10"/>
      <c r="K81" s="49"/>
      <c r="L81" s="44" t="str">
        <f t="shared" ca="1" si="2"/>
        <v/>
      </c>
      <c r="M81" s="44" t="str">
        <f t="shared" ca="1" si="3"/>
        <v/>
      </c>
      <c r="N81" s="10"/>
      <c r="O81" s="10"/>
    </row>
    <row r="82" spans="1:15" x14ac:dyDescent="0.35">
      <c r="A82" s="10"/>
      <c r="B82" s="10"/>
      <c r="C82" s="43" t="str">
        <f>IF(B82="","",IFERROR(INDEX(Findings_Register!$B$6:$B$205,MATCH(B82,Findings_Register!$A$6:$A$205,0)),""))</f>
        <v/>
      </c>
      <c r="D82" s="44" t="str">
        <f>IF(B82="","",IFERROR(INDEX(Findings_Register!$F$6:$F$205,MATCH(B82,Findings_Register!$A$6:$A$205,0)),""))</f>
        <v/>
      </c>
      <c r="E82" s="10"/>
      <c r="F82" s="10"/>
      <c r="G82" s="10"/>
      <c r="H82" s="14"/>
      <c r="I82" s="14"/>
      <c r="J82" s="10"/>
      <c r="K82" s="49"/>
      <c r="L82" s="44" t="str">
        <f t="shared" ca="1" si="2"/>
        <v/>
      </c>
      <c r="M82" s="44" t="str">
        <f t="shared" ca="1" si="3"/>
        <v/>
      </c>
      <c r="N82" s="10"/>
      <c r="O82" s="10"/>
    </row>
    <row r="83" spans="1:15" x14ac:dyDescent="0.35">
      <c r="A83" s="10"/>
      <c r="B83" s="10"/>
      <c r="C83" s="43" t="str">
        <f>IF(B83="","",IFERROR(INDEX(Findings_Register!$B$6:$B$205,MATCH(B83,Findings_Register!$A$6:$A$205,0)),""))</f>
        <v/>
      </c>
      <c r="D83" s="44" t="str">
        <f>IF(B83="","",IFERROR(INDEX(Findings_Register!$F$6:$F$205,MATCH(B83,Findings_Register!$A$6:$A$205,0)),""))</f>
        <v/>
      </c>
      <c r="E83" s="10"/>
      <c r="F83" s="10"/>
      <c r="G83" s="10"/>
      <c r="H83" s="14"/>
      <c r="I83" s="14"/>
      <c r="J83" s="10"/>
      <c r="K83" s="49"/>
      <c r="L83" s="44" t="str">
        <f t="shared" ca="1" si="2"/>
        <v/>
      </c>
      <c r="M83" s="44" t="str">
        <f t="shared" ca="1" si="3"/>
        <v/>
      </c>
      <c r="N83" s="10"/>
      <c r="O83" s="10"/>
    </row>
    <row r="84" spans="1:15" x14ac:dyDescent="0.35">
      <c r="A84" s="10"/>
      <c r="B84" s="10"/>
      <c r="C84" s="43" t="str">
        <f>IF(B84="","",IFERROR(INDEX(Findings_Register!$B$6:$B$205,MATCH(B84,Findings_Register!$A$6:$A$205,0)),""))</f>
        <v/>
      </c>
      <c r="D84" s="44" t="str">
        <f>IF(B84="","",IFERROR(INDEX(Findings_Register!$F$6:$F$205,MATCH(B84,Findings_Register!$A$6:$A$205,0)),""))</f>
        <v/>
      </c>
      <c r="E84" s="10"/>
      <c r="F84" s="10"/>
      <c r="G84" s="10"/>
      <c r="H84" s="14"/>
      <c r="I84" s="14"/>
      <c r="J84" s="10"/>
      <c r="K84" s="49"/>
      <c r="L84" s="44" t="str">
        <f t="shared" ca="1" si="2"/>
        <v/>
      </c>
      <c r="M84" s="44" t="str">
        <f t="shared" ca="1" si="3"/>
        <v/>
      </c>
      <c r="N84" s="10"/>
      <c r="O84" s="10"/>
    </row>
    <row r="85" spans="1:15" x14ac:dyDescent="0.35">
      <c r="A85" s="10"/>
      <c r="B85" s="10"/>
      <c r="C85" s="43" t="str">
        <f>IF(B85="","",IFERROR(INDEX(Findings_Register!$B$6:$B$205,MATCH(B85,Findings_Register!$A$6:$A$205,0)),""))</f>
        <v/>
      </c>
      <c r="D85" s="44" t="str">
        <f>IF(B85="","",IFERROR(INDEX(Findings_Register!$F$6:$F$205,MATCH(B85,Findings_Register!$A$6:$A$205,0)),""))</f>
        <v/>
      </c>
      <c r="E85" s="10"/>
      <c r="F85" s="10"/>
      <c r="G85" s="10"/>
      <c r="H85" s="14"/>
      <c r="I85" s="14"/>
      <c r="J85" s="10"/>
      <c r="K85" s="49"/>
      <c r="L85" s="44" t="str">
        <f t="shared" ca="1" si="2"/>
        <v/>
      </c>
      <c r="M85" s="44" t="str">
        <f t="shared" ca="1" si="3"/>
        <v/>
      </c>
      <c r="N85" s="10"/>
      <c r="O85" s="10"/>
    </row>
    <row r="86" spans="1:15" x14ac:dyDescent="0.35">
      <c r="A86" s="10"/>
      <c r="B86" s="10"/>
      <c r="C86" s="43" t="str">
        <f>IF(B86="","",IFERROR(INDEX(Findings_Register!$B$6:$B$205,MATCH(B86,Findings_Register!$A$6:$A$205,0)),""))</f>
        <v/>
      </c>
      <c r="D86" s="44" t="str">
        <f>IF(B86="","",IFERROR(INDEX(Findings_Register!$F$6:$F$205,MATCH(B86,Findings_Register!$A$6:$A$205,0)),""))</f>
        <v/>
      </c>
      <c r="E86" s="10"/>
      <c r="F86" s="10"/>
      <c r="G86" s="10"/>
      <c r="H86" s="14"/>
      <c r="I86" s="14"/>
      <c r="J86" s="10"/>
      <c r="K86" s="49"/>
      <c r="L86" s="44" t="str">
        <f t="shared" ca="1" si="2"/>
        <v/>
      </c>
      <c r="M86" s="44" t="str">
        <f t="shared" ca="1" si="3"/>
        <v/>
      </c>
      <c r="N86" s="10"/>
      <c r="O86" s="10"/>
    </row>
    <row r="87" spans="1:15" x14ac:dyDescent="0.35">
      <c r="A87" s="10"/>
      <c r="B87" s="10"/>
      <c r="C87" s="43" t="str">
        <f>IF(B87="","",IFERROR(INDEX(Findings_Register!$B$6:$B$205,MATCH(B87,Findings_Register!$A$6:$A$205,0)),""))</f>
        <v/>
      </c>
      <c r="D87" s="44" t="str">
        <f>IF(B87="","",IFERROR(INDEX(Findings_Register!$F$6:$F$205,MATCH(B87,Findings_Register!$A$6:$A$205,0)),""))</f>
        <v/>
      </c>
      <c r="E87" s="10"/>
      <c r="F87" s="10"/>
      <c r="G87" s="10"/>
      <c r="H87" s="14"/>
      <c r="I87" s="14"/>
      <c r="J87" s="10"/>
      <c r="K87" s="49"/>
      <c r="L87" s="44" t="str">
        <f t="shared" ca="1" si="2"/>
        <v/>
      </c>
      <c r="M87" s="44" t="str">
        <f t="shared" ca="1" si="3"/>
        <v/>
      </c>
      <c r="N87" s="10"/>
      <c r="O87" s="10"/>
    </row>
    <row r="88" spans="1:15" x14ac:dyDescent="0.35">
      <c r="A88" s="10"/>
      <c r="B88" s="10"/>
      <c r="C88" s="43" t="str">
        <f>IF(B88="","",IFERROR(INDEX(Findings_Register!$B$6:$B$205,MATCH(B88,Findings_Register!$A$6:$A$205,0)),""))</f>
        <v/>
      </c>
      <c r="D88" s="44" t="str">
        <f>IF(B88="","",IFERROR(INDEX(Findings_Register!$F$6:$F$205,MATCH(B88,Findings_Register!$A$6:$A$205,0)),""))</f>
        <v/>
      </c>
      <c r="E88" s="10"/>
      <c r="F88" s="10"/>
      <c r="G88" s="10"/>
      <c r="H88" s="14"/>
      <c r="I88" s="14"/>
      <c r="J88" s="10"/>
      <c r="K88" s="49"/>
      <c r="L88" s="44" t="str">
        <f t="shared" ca="1" si="2"/>
        <v/>
      </c>
      <c r="M88" s="44" t="str">
        <f t="shared" ca="1" si="3"/>
        <v/>
      </c>
      <c r="N88" s="10"/>
      <c r="O88" s="10"/>
    </row>
    <row r="89" spans="1:15" x14ac:dyDescent="0.35">
      <c r="A89" s="10"/>
      <c r="B89" s="10"/>
      <c r="C89" s="43" t="str">
        <f>IF(B89="","",IFERROR(INDEX(Findings_Register!$B$6:$B$205,MATCH(B89,Findings_Register!$A$6:$A$205,0)),""))</f>
        <v/>
      </c>
      <c r="D89" s="44" t="str">
        <f>IF(B89="","",IFERROR(INDEX(Findings_Register!$F$6:$F$205,MATCH(B89,Findings_Register!$A$6:$A$205,0)),""))</f>
        <v/>
      </c>
      <c r="E89" s="10"/>
      <c r="F89" s="10"/>
      <c r="G89" s="10"/>
      <c r="H89" s="14"/>
      <c r="I89" s="14"/>
      <c r="J89" s="10"/>
      <c r="K89" s="49"/>
      <c r="L89" s="44" t="str">
        <f t="shared" ca="1" si="2"/>
        <v/>
      </c>
      <c r="M89" s="44" t="str">
        <f t="shared" ca="1" si="3"/>
        <v/>
      </c>
      <c r="N89" s="10"/>
      <c r="O89" s="10"/>
    </row>
    <row r="90" spans="1:15" x14ac:dyDescent="0.35">
      <c r="A90" s="10"/>
      <c r="B90" s="10"/>
      <c r="C90" s="43" t="str">
        <f>IF(B90="","",IFERROR(INDEX(Findings_Register!$B$6:$B$205,MATCH(B90,Findings_Register!$A$6:$A$205,0)),""))</f>
        <v/>
      </c>
      <c r="D90" s="44" t="str">
        <f>IF(B90="","",IFERROR(INDEX(Findings_Register!$F$6:$F$205,MATCH(B90,Findings_Register!$A$6:$A$205,0)),""))</f>
        <v/>
      </c>
      <c r="E90" s="10"/>
      <c r="F90" s="10"/>
      <c r="G90" s="10"/>
      <c r="H90" s="14"/>
      <c r="I90" s="14"/>
      <c r="J90" s="10"/>
      <c r="K90" s="49"/>
      <c r="L90" s="44" t="str">
        <f t="shared" ca="1" si="2"/>
        <v/>
      </c>
      <c r="M90" s="44" t="str">
        <f t="shared" ca="1" si="3"/>
        <v/>
      </c>
      <c r="N90" s="10"/>
      <c r="O90" s="10"/>
    </row>
    <row r="91" spans="1:15" x14ac:dyDescent="0.35">
      <c r="A91" s="10"/>
      <c r="B91" s="10"/>
      <c r="C91" s="43" t="str">
        <f>IF(B91="","",IFERROR(INDEX(Findings_Register!$B$6:$B$205,MATCH(B91,Findings_Register!$A$6:$A$205,0)),""))</f>
        <v/>
      </c>
      <c r="D91" s="44" t="str">
        <f>IF(B91="","",IFERROR(INDEX(Findings_Register!$F$6:$F$205,MATCH(B91,Findings_Register!$A$6:$A$205,0)),""))</f>
        <v/>
      </c>
      <c r="E91" s="10"/>
      <c r="F91" s="10"/>
      <c r="G91" s="10"/>
      <c r="H91" s="14"/>
      <c r="I91" s="14"/>
      <c r="J91" s="10"/>
      <c r="K91" s="49"/>
      <c r="L91" s="44" t="str">
        <f t="shared" ca="1" si="2"/>
        <v/>
      </c>
      <c r="M91" s="44" t="str">
        <f t="shared" ca="1" si="3"/>
        <v/>
      </c>
      <c r="N91" s="10"/>
      <c r="O91" s="10"/>
    </row>
    <row r="92" spans="1:15" x14ac:dyDescent="0.35">
      <c r="A92" s="10"/>
      <c r="B92" s="10"/>
      <c r="C92" s="43" t="str">
        <f>IF(B92="","",IFERROR(INDEX(Findings_Register!$B$6:$B$205,MATCH(B92,Findings_Register!$A$6:$A$205,0)),""))</f>
        <v/>
      </c>
      <c r="D92" s="44" t="str">
        <f>IF(B92="","",IFERROR(INDEX(Findings_Register!$F$6:$F$205,MATCH(B92,Findings_Register!$A$6:$A$205,0)),""))</f>
        <v/>
      </c>
      <c r="E92" s="10"/>
      <c r="F92" s="10"/>
      <c r="G92" s="10"/>
      <c r="H92" s="14"/>
      <c r="I92" s="14"/>
      <c r="J92" s="10"/>
      <c r="K92" s="49"/>
      <c r="L92" s="44" t="str">
        <f t="shared" ca="1" si="2"/>
        <v/>
      </c>
      <c r="M92" s="44" t="str">
        <f t="shared" ca="1" si="3"/>
        <v/>
      </c>
      <c r="N92" s="10"/>
      <c r="O92" s="10"/>
    </row>
    <row r="93" spans="1:15" x14ac:dyDescent="0.35">
      <c r="A93" s="10"/>
      <c r="B93" s="10"/>
      <c r="C93" s="43" t="str">
        <f>IF(B93="","",IFERROR(INDEX(Findings_Register!$B$6:$B$205,MATCH(B93,Findings_Register!$A$6:$A$205,0)),""))</f>
        <v/>
      </c>
      <c r="D93" s="44" t="str">
        <f>IF(B93="","",IFERROR(INDEX(Findings_Register!$F$6:$F$205,MATCH(B93,Findings_Register!$A$6:$A$205,0)),""))</f>
        <v/>
      </c>
      <c r="E93" s="10"/>
      <c r="F93" s="10"/>
      <c r="G93" s="10"/>
      <c r="H93" s="14"/>
      <c r="I93" s="14"/>
      <c r="J93" s="10"/>
      <c r="K93" s="49"/>
      <c r="L93" s="44" t="str">
        <f t="shared" ca="1" si="2"/>
        <v/>
      </c>
      <c r="M93" s="44" t="str">
        <f t="shared" ca="1" si="3"/>
        <v/>
      </c>
      <c r="N93" s="10"/>
      <c r="O93" s="10"/>
    </row>
    <row r="94" spans="1:15" x14ac:dyDescent="0.35">
      <c r="A94" s="10"/>
      <c r="B94" s="10"/>
      <c r="C94" s="43" t="str">
        <f>IF(B94="","",IFERROR(INDEX(Findings_Register!$B$6:$B$205,MATCH(B94,Findings_Register!$A$6:$A$205,0)),""))</f>
        <v/>
      </c>
      <c r="D94" s="44" t="str">
        <f>IF(B94="","",IFERROR(INDEX(Findings_Register!$F$6:$F$205,MATCH(B94,Findings_Register!$A$6:$A$205,0)),""))</f>
        <v/>
      </c>
      <c r="E94" s="10"/>
      <c r="F94" s="10"/>
      <c r="G94" s="10"/>
      <c r="H94" s="14"/>
      <c r="I94" s="14"/>
      <c r="J94" s="10"/>
      <c r="K94" s="49"/>
      <c r="L94" s="44" t="str">
        <f t="shared" ca="1" si="2"/>
        <v/>
      </c>
      <c r="M94" s="44" t="str">
        <f t="shared" ca="1" si="3"/>
        <v/>
      </c>
      <c r="N94" s="10"/>
      <c r="O94" s="10"/>
    </row>
    <row r="95" spans="1:15" x14ac:dyDescent="0.35">
      <c r="A95" s="10"/>
      <c r="B95" s="10"/>
      <c r="C95" s="43" t="str">
        <f>IF(B95="","",IFERROR(INDEX(Findings_Register!$B$6:$B$205,MATCH(B95,Findings_Register!$A$6:$A$205,0)),""))</f>
        <v/>
      </c>
      <c r="D95" s="44" t="str">
        <f>IF(B95="","",IFERROR(INDEX(Findings_Register!$F$6:$F$205,MATCH(B95,Findings_Register!$A$6:$A$205,0)),""))</f>
        <v/>
      </c>
      <c r="E95" s="10"/>
      <c r="F95" s="10"/>
      <c r="G95" s="10"/>
      <c r="H95" s="14"/>
      <c r="I95" s="14"/>
      <c r="J95" s="10"/>
      <c r="K95" s="49"/>
      <c r="L95" s="44" t="str">
        <f t="shared" ca="1" si="2"/>
        <v/>
      </c>
      <c r="M95" s="44" t="str">
        <f t="shared" ca="1" si="3"/>
        <v/>
      </c>
      <c r="N95" s="10"/>
      <c r="O95" s="10"/>
    </row>
    <row r="96" spans="1:15" x14ac:dyDescent="0.35">
      <c r="A96" s="10"/>
      <c r="B96" s="10"/>
      <c r="C96" s="43" t="str">
        <f>IF(B96="","",IFERROR(INDEX(Findings_Register!$B$6:$B$205,MATCH(B96,Findings_Register!$A$6:$A$205,0)),""))</f>
        <v/>
      </c>
      <c r="D96" s="44" t="str">
        <f>IF(B96="","",IFERROR(INDEX(Findings_Register!$F$6:$F$205,MATCH(B96,Findings_Register!$A$6:$A$205,0)),""))</f>
        <v/>
      </c>
      <c r="E96" s="10"/>
      <c r="F96" s="10"/>
      <c r="G96" s="10"/>
      <c r="H96" s="14"/>
      <c r="I96" s="14"/>
      <c r="J96" s="10"/>
      <c r="K96" s="49"/>
      <c r="L96" s="44" t="str">
        <f t="shared" ca="1" si="2"/>
        <v/>
      </c>
      <c r="M96" s="44" t="str">
        <f t="shared" ca="1" si="3"/>
        <v/>
      </c>
      <c r="N96" s="10"/>
      <c r="O96" s="10"/>
    </row>
    <row r="97" spans="1:15" x14ac:dyDescent="0.35">
      <c r="A97" s="10"/>
      <c r="B97" s="10"/>
      <c r="C97" s="43" t="str">
        <f>IF(B97="","",IFERROR(INDEX(Findings_Register!$B$6:$B$205,MATCH(B97,Findings_Register!$A$6:$A$205,0)),""))</f>
        <v/>
      </c>
      <c r="D97" s="44" t="str">
        <f>IF(B97="","",IFERROR(INDEX(Findings_Register!$F$6:$F$205,MATCH(B97,Findings_Register!$A$6:$A$205,0)),""))</f>
        <v/>
      </c>
      <c r="E97" s="10"/>
      <c r="F97" s="10"/>
      <c r="G97" s="10"/>
      <c r="H97" s="14"/>
      <c r="I97" s="14"/>
      <c r="J97" s="10"/>
      <c r="K97" s="49"/>
      <c r="L97" s="44" t="str">
        <f t="shared" ca="1" si="2"/>
        <v/>
      </c>
      <c r="M97" s="44" t="str">
        <f t="shared" ca="1" si="3"/>
        <v/>
      </c>
      <c r="N97" s="10"/>
      <c r="O97" s="10"/>
    </row>
    <row r="98" spans="1:15" x14ac:dyDescent="0.35">
      <c r="A98" s="10"/>
      <c r="B98" s="10"/>
      <c r="C98" s="43" t="str">
        <f>IF(B98="","",IFERROR(INDEX(Findings_Register!$B$6:$B$205,MATCH(B98,Findings_Register!$A$6:$A$205,0)),""))</f>
        <v/>
      </c>
      <c r="D98" s="44" t="str">
        <f>IF(B98="","",IFERROR(INDEX(Findings_Register!$F$6:$F$205,MATCH(B98,Findings_Register!$A$6:$A$205,0)),""))</f>
        <v/>
      </c>
      <c r="E98" s="10"/>
      <c r="F98" s="10"/>
      <c r="G98" s="10"/>
      <c r="H98" s="14"/>
      <c r="I98" s="14"/>
      <c r="J98" s="10"/>
      <c r="K98" s="49"/>
      <c r="L98" s="44" t="str">
        <f t="shared" ca="1" si="2"/>
        <v/>
      </c>
      <c r="M98" s="44" t="str">
        <f t="shared" ca="1" si="3"/>
        <v/>
      </c>
      <c r="N98" s="10"/>
      <c r="O98" s="10"/>
    </row>
    <row r="99" spans="1:15" x14ac:dyDescent="0.35">
      <c r="A99" s="10"/>
      <c r="B99" s="10"/>
      <c r="C99" s="43" t="str">
        <f>IF(B99="","",IFERROR(INDEX(Findings_Register!$B$6:$B$205,MATCH(B99,Findings_Register!$A$6:$A$205,0)),""))</f>
        <v/>
      </c>
      <c r="D99" s="44" t="str">
        <f>IF(B99="","",IFERROR(INDEX(Findings_Register!$F$6:$F$205,MATCH(B99,Findings_Register!$A$6:$A$205,0)),""))</f>
        <v/>
      </c>
      <c r="E99" s="10"/>
      <c r="F99" s="10"/>
      <c r="G99" s="10"/>
      <c r="H99" s="14"/>
      <c r="I99" s="14"/>
      <c r="J99" s="10"/>
      <c r="K99" s="49"/>
      <c r="L99" s="44" t="str">
        <f t="shared" ca="1" si="2"/>
        <v/>
      </c>
      <c r="M99" s="44" t="str">
        <f t="shared" ca="1" si="3"/>
        <v/>
      </c>
      <c r="N99" s="10"/>
      <c r="O99" s="10"/>
    </row>
    <row r="100" spans="1:15" x14ac:dyDescent="0.35">
      <c r="A100" s="10"/>
      <c r="B100" s="10"/>
      <c r="C100" s="43" t="str">
        <f>IF(B100="","",IFERROR(INDEX(Findings_Register!$B$6:$B$205,MATCH(B100,Findings_Register!$A$6:$A$205,0)),""))</f>
        <v/>
      </c>
      <c r="D100" s="44" t="str">
        <f>IF(B100="","",IFERROR(INDEX(Findings_Register!$F$6:$F$205,MATCH(B100,Findings_Register!$A$6:$A$205,0)),""))</f>
        <v/>
      </c>
      <c r="E100" s="10"/>
      <c r="F100" s="10"/>
      <c r="G100" s="10"/>
      <c r="H100" s="14"/>
      <c r="I100" s="14"/>
      <c r="J100" s="10"/>
      <c r="K100" s="49"/>
      <c r="L100" s="44" t="str">
        <f t="shared" ca="1" si="2"/>
        <v/>
      </c>
      <c r="M100" s="44" t="str">
        <f t="shared" ca="1" si="3"/>
        <v/>
      </c>
      <c r="N100" s="10"/>
      <c r="O100" s="10"/>
    </row>
    <row r="101" spans="1:15" x14ac:dyDescent="0.35">
      <c r="A101" s="10"/>
      <c r="B101" s="10"/>
      <c r="C101" s="43" t="str">
        <f>IF(B101="","",IFERROR(INDEX(Findings_Register!$B$6:$B$205,MATCH(B101,Findings_Register!$A$6:$A$205,0)),""))</f>
        <v/>
      </c>
      <c r="D101" s="44" t="str">
        <f>IF(B101="","",IFERROR(INDEX(Findings_Register!$F$6:$F$205,MATCH(B101,Findings_Register!$A$6:$A$205,0)),""))</f>
        <v/>
      </c>
      <c r="E101" s="10"/>
      <c r="F101" s="10"/>
      <c r="G101" s="10"/>
      <c r="H101" s="14"/>
      <c r="I101" s="14"/>
      <c r="J101" s="10"/>
      <c r="K101" s="49"/>
      <c r="L101" s="44" t="str">
        <f t="shared" ca="1" si="2"/>
        <v/>
      </c>
      <c r="M101" s="44" t="str">
        <f t="shared" ca="1" si="3"/>
        <v/>
      </c>
      <c r="N101" s="10"/>
      <c r="O101" s="10"/>
    </row>
    <row r="102" spans="1:15" x14ac:dyDescent="0.35">
      <c r="A102" s="10"/>
      <c r="B102" s="10"/>
      <c r="C102" s="43" t="str">
        <f>IF(B102="","",IFERROR(INDEX(Findings_Register!$B$6:$B$205,MATCH(B102,Findings_Register!$A$6:$A$205,0)),""))</f>
        <v/>
      </c>
      <c r="D102" s="44" t="str">
        <f>IF(B102="","",IFERROR(INDEX(Findings_Register!$F$6:$F$205,MATCH(B102,Findings_Register!$A$6:$A$205,0)),""))</f>
        <v/>
      </c>
      <c r="E102" s="10"/>
      <c r="F102" s="10"/>
      <c r="G102" s="10"/>
      <c r="H102" s="14"/>
      <c r="I102" s="14"/>
      <c r="J102" s="10"/>
      <c r="K102" s="49"/>
      <c r="L102" s="44" t="str">
        <f t="shared" ca="1" si="2"/>
        <v/>
      </c>
      <c r="M102" s="44" t="str">
        <f t="shared" ca="1" si="3"/>
        <v/>
      </c>
      <c r="N102" s="10"/>
      <c r="O102" s="10"/>
    </row>
    <row r="103" spans="1:15" x14ac:dyDescent="0.35">
      <c r="A103" s="10"/>
      <c r="B103" s="10"/>
      <c r="C103" s="43" t="str">
        <f>IF(B103="","",IFERROR(INDEX(Findings_Register!$B$6:$B$205,MATCH(B103,Findings_Register!$A$6:$A$205,0)),""))</f>
        <v/>
      </c>
      <c r="D103" s="44" t="str">
        <f>IF(B103="","",IFERROR(INDEX(Findings_Register!$F$6:$F$205,MATCH(B103,Findings_Register!$A$6:$A$205,0)),""))</f>
        <v/>
      </c>
      <c r="E103" s="10"/>
      <c r="F103" s="10"/>
      <c r="G103" s="10"/>
      <c r="H103" s="14"/>
      <c r="I103" s="14"/>
      <c r="J103" s="10"/>
      <c r="K103" s="49"/>
      <c r="L103" s="44" t="str">
        <f t="shared" ca="1" si="2"/>
        <v/>
      </c>
      <c r="M103" s="44" t="str">
        <f t="shared" ca="1" si="3"/>
        <v/>
      </c>
      <c r="N103" s="10"/>
      <c r="O103" s="10"/>
    </row>
    <row r="104" spans="1:15" x14ac:dyDescent="0.35">
      <c r="A104" s="10"/>
      <c r="B104" s="10"/>
      <c r="C104" s="43" t="str">
        <f>IF(B104="","",IFERROR(INDEX(Findings_Register!$B$6:$B$205,MATCH(B104,Findings_Register!$A$6:$A$205,0)),""))</f>
        <v/>
      </c>
      <c r="D104" s="44" t="str">
        <f>IF(B104="","",IFERROR(INDEX(Findings_Register!$F$6:$F$205,MATCH(B104,Findings_Register!$A$6:$A$205,0)),""))</f>
        <v/>
      </c>
      <c r="E104" s="10"/>
      <c r="F104" s="10"/>
      <c r="G104" s="10"/>
      <c r="H104" s="14"/>
      <c r="I104" s="14"/>
      <c r="J104" s="10"/>
      <c r="K104" s="49"/>
      <c r="L104" s="44" t="str">
        <f t="shared" ca="1" si="2"/>
        <v/>
      </c>
      <c r="M104" s="44" t="str">
        <f t="shared" ca="1" si="3"/>
        <v/>
      </c>
      <c r="N104" s="10"/>
      <c r="O104" s="10"/>
    </row>
    <row r="105" spans="1:15" x14ac:dyDescent="0.35">
      <c r="A105" s="10"/>
      <c r="B105" s="10"/>
      <c r="C105" s="43" t="str">
        <f>IF(B105="","",IFERROR(INDEX(Findings_Register!$B$6:$B$205,MATCH(B105,Findings_Register!$A$6:$A$205,0)),""))</f>
        <v/>
      </c>
      <c r="D105" s="44" t="str">
        <f>IF(B105="","",IFERROR(INDEX(Findings_Register!$F$6:$F$205,MATCH(B105,Findings_Register!$A$6:$A$205,0)),""))</f>
        <v/>
      </c>
      <c r="E105" s="10"/>
      <c r="F105" s="10"/>
      <c r="G105" s="10"/>
      <c r="H105" s="14"/>
      <c r="I105" s="14"/>
      <c r="J105" s="10"/>
      <c r="K105" s="49"/>
      <c r="L105" s="44" t="str">
        <f t="shared" ca="1" si="2"/>
        <v/>
      </c>
      <c r="M105" s="44" t="str">
        <f t="shared" ca="1" si="3"/>
        <v/>
      </c>
      <c r="N105" s="10"/>
      <c r="O105" s="10"/>
    </row>
    <row r="106" spans="1:15" x14ac:dyDescent="0.35">
      <c r="A106" s="10"/>
      <c r="B106" s="10"/>
      <c r="C106" s="43" t="str">
        <f>IF(B106="","",IFERROR(INDEX(Findings_Register!$B$6:$B$205,MATCH(B106,Findings_Register!$A$6:$A$205,0)),""))</f>
        <v/>
      </c>
      <c r="D106" s="44" t="str">
        <f>IF(B106="","",IFERROR(INDEX(Findings_Register!$F$6:$F$205,MATCH(B106,Findings_Register!$A$6:$A$205,0)),""))</f>
        <v/>
      </c>
      <c r="E106" s="10"/>
      <c r="F106" s="10"/>
      <c r="G106" s="10"/>
      <c r="H106" s="14"/>
      <c r="I106" s="14"/>
      <c r="J106" s="10"/>
      <c r="K106" s="49"/>
      <c r="L106" s="44" t="str">
        <f t="shared" ca="1" si="2"/>
        <v/>
      </c>
      <c r="M106" s="44" t="str">
        <f t="shared" ca="1" si="3"/>
        <v/>
      </c>
      <c r="N106" s="10"/>
      <c r="O106" s="10"/>
    </row>
    <row r="107" spans="1:15" x14ac:dyDescent="0.35">
      <c r="A107" s="10"/>
      <c r="B107" s="10"/>
      <c r="C107" s="43" t="str">
        <f>IF(B107="","",IFERROR(INDEX(Findings_Register!$B$6:$B$205,MATCH(B107,Findings_Register!$A$6:$A$205,0)),""))</f>
        <v/>
      </c>
      <c r="D107" s="44" t="str">
        <f>IF(B107="","",IFERROR(INDEX(Findings_Register!$F$6:$F$205,MATCH(B107,Findings_Register!$A$6:$A$205,0)),""))</f>
        <v/>
      </c>
      <c r="E107" s="10"/>
      <c r="F107" s="10"/>
      <c r="G107" s="10"/>
      <c r="H107" s="14"/>
      <c r="I107" s="14"/>
      <c r="J107" s="10"/>
      <c r="K107" s="49"/>
      <c r="L107" s="44" t="str">
        <f t="shared" ca="1" si="2"/>
        <v/>
      </c>
      <c r="M107" s="44" t="str">
        <f t="shared" ca="1" si="3"/>
        <v/>
      </c>
      <c r="N107" s="10"/>
      <c r="O107" s="10"/>
    </row>
    <row r="108" spans="1:15" x14ac:dyDescent="0.35">
      <c r="A108" s="10"/>
      <c r="B108" s="10"/>
      <c r="C108" s="43" t="str">
        <f>IF(B108="","",IFERROR(INDEX(Findings_Register!$B$6:$B$205,MATCH(B108,Findings_Register!$A$6:$A$205,0)),""))</f>
        <v/>
      </c>
      <c r="D108" s="44" t="str">
        <f>IF(B108="","",IFERROR(INDEX(Findings_Register!$F$6:$F$205,MATCH(B108,Findings_Register!$A$6:$A$205,0)),""))</f>
        <v/>
      </c>
      <c r="E108" s="10"/>
      <c r="F108" s="10"/>
      <c r="G108" s="10"/>
      <c r="H108" s="14"/>
      <c r="I108" s="14"/>
      <c r="J108" s="10"/>
      <c r="K108" s="49"/>
      <c r="L108" s="44" t="str">
        <f t="shared" ca="1" si="2"/>
        <v/>
      </c>
      <c r="M108" s="44" t="str">
        <f t="shared" ca="1" si="3"/>
        <v/>
      </c>
      <c r="N108" s="10"/>
      <c r="O108" s="10"/>
    </row>
    <row r="109" spans="1:15" x14ac:dyDescent="0.35">
      <c r="A109" s="10"/>
      <c r="B109" s="10"/>
      <c r="C109" s="43" t="str">
        <f>IF(B109="","",IFERROR(INDEX(Findings_Register!$B$6:$B$205,MATCH(B109,Findings_Register!$A$6:$A$205,0)),""))</f>
        <v/>
      </c>
      <c r="D109" s="44" t="str">
        <f>IF(B109="","",IFERROR(INDEX(Findings_Register!$F$6:$F$205,MATCH(B109,Findings_Register!$A$6:$A$205,0)),""))</f>
        <v/>
      </c>
      <c r="E109" s="10"/>
      <c r="F109" s="10"/>
      <c r="G109" s="10"/>
      <c r="H109" s="14"/>
      <c r="I109" s="14"/>
      <c r="J109" s="10"/>
      <c r="K109" s="49"/>
      <c r="L109" s="44" t="str">
        <f t="shared" ca="1" si="2"/>
        <v/>
      </c>
      <c r="M109" s="44" t="str">
        <f t="shared" ca="1" si="3"/>
        <v/>
      </c>
      <c r="N109" s="10"/>
      <c r="O109" s="10"/>
    </row>
    <row r="110" spans="1:15" x14ac:dyDescent="0.35">
      <c r="A110" s="10"/>
      <c r="B110" s="10"/>
      <c r="C110" s="43" t="str">
        <f>IF(B110="","",IFERROR(INDEX(Findings_Register!$B$6:$B$205,MATCH(B110,Findings_Register!$A$6:$A$205,0)),""))</f>
        <v/>
      </c>
      <c r="D110" s="44" t="str">
        <f>IF(B110="","",IFERROR(INDEX(Findings_Register!$F$6:$F$205,MATCH(B110,Findings_Register!$A$6:$A$205,0)),""))</f>
        <v/>
      </c>
      <c r="E110" s="10"/>
      <c r="F110" s="10"/>
      <c r="G110" s="10"/>
      <c r="H110" s="14"/>
      <c r="I110" s="14"/>
      <c r="J110" s="10"/>
      <c r="K110" s="49"/>
      <c r="L110" s="44" t="str">
        <f t="shared" ca="1" si="2"/>
        <v/>
      </c>
      <c r="M110" s="44" t="str">
        <f t="shared" ca="1" si="3"/>
        <v/>
      </c>
      <c r="N110" s="10"/>
      <c r="O110" s="10"/>
    </row>
    <row r="111" spans="1:15" x14ac:dyDescent="0.35">
      <c r="A111" s="10"/>
      <c r="B111" s="10"/>
      <c r="C111" s="43" t="str">
        <f>IF(B111="","",IFERROR(INDEX(Findings_Register!$B$6:$B$205,MATCH(B111,Findings_Register!$A$6:$A$205,0)),""))</f>
        <v/>
      </c>
      <c r="D111" s="44" t="str">
        <f>IF(B111="","",IFERROR(INDEX(Findings_Register!$F$6:$F$205,MATCH(B111,Findings_Register!$A$6:$A$205,0)),""))</f>
        <v/>
      </c>
      <c r="E111" s="10"/>
      <c r="F111" s="10"/>
      <c r="G111" s="10"/>
      <c r="H111" s="14"/>
      <c r="I111" s="14"/>
      <c r="J111" s="10"/>
      <c r="K111" s="49"/>
      <c r="L111" s="44" t="str">
        <f t="shared" ca="1" si="2"/>
        <v/>
      </c>
      <c r="M111" s="44" t="str">
        <f t="shared" ca="1" si="3"/>
        <v/>
      </c>
      <c r="N111" s="10"/>
      <c r="O111" s="10"/>
    </row>
    <row r="112" spans="1:15" x14ac:dyDescent="0.35">
      <c r="A112" s="10"/>
      <c r="B112" s="10"/>
      <c r="C112" s="43" t="str">
        <f>IF(B112="","",IFERROR(INDEX(Findings_Register!$B$6:$B$205,MATCH(B112,Findings_Register!$A$6:$A$205,0)),""))</f>
        <v/>
      </c>
      <c r="D112" s="44" t="str">
        <f>IF(B112="","",IFERROR(INDEX(Findings_Register!$F$6:$F$205,MATCH(B112,Findings_Register!$A$6:$A$205,0)),""))</f>
        <v/>
      </c>
      <c r="E112" s="10"/>
      <c r="F112" s="10"/>
      <c r="G112" s="10"/>
      <c r="H112" s="14"/>
      <c r="I112" s="14"/>
      <c r="J112" s="10"/>
      <c r="K112" s="49"/>
      <c r="L112" s="44" t="str">
        <f t="shared" ca="1" si="2"/>
        <v/>
      </c>
      <c r="M112" s="44" t="str">
        <f t="shared" ca="1" si="3"/>
        <v/>
      </c>
      <c r="N112" s="10"/>
      <c r="O112" s="10"/>
    </row>
    <row r="113" spans="1:15" x14ac:dyDescent="0.35">
      <c r="A113" s="10"/>
      <c r="B113" s="10"/>
      <c r="C113" s="43" t="str">
        <f>IF(B113="","",IFERROR(INDEX(Findings_Register!$B$6:$B$205,MATCH(B113,Findings_Register!$A$6:$A$205,0)),""))</f>
        <v/>
      </c>
      <c r="D113" s="44" t="str">
        <f>IF(B113="","",IFERROR(INDEX(Findings_Register!$F$6:$F$205,MATCH(B113,Findings_Register!$A$6:$A$205,0)),""))</f>
        <v/>
      </c>
      <c r="E113" s="10"/>
      <c r="F113" s="10"/>
      <c r="G113" s="10"/>
      <c r="H113" s="14"/>
      <c r="I113" s="14"/>
      <c r="J113" s="10"/>
      <c r="K113" s="49"/>
      <c r="L113" s="44" t="str">
        <f t="shared" ca="1" si="2"/>
        <v/>
      </c>
      <c r="M113" s="44" t="str">
        <f t="shared" ca="1" si="3"/>
        <v/>
      </c>
      <c r="N113" s="10"/>
      <c r="O113" s="10"/>
    </row>
    <row r="114" spans="1:15" x14ac:dyDescent="0.35">
      <c r="A114" s="10"/>
      <c r="B114" s="10"/>
      <c r="C114" s="43" t="str">
        <f>IF(B114="","",IFERROR(INDEX(Findings_Register!$B$6:$B$205,MATCH(B114,Findings_Register!$A$6:$A$205,0)),""))</f>
        <v/>
      </c>
      <c r="D114" s="44" t="str">
        <f>IF(B114="","",IFERROR(INDEX(Findings_Register!$F$6:$F$205,MATCH(B114,Findings_Register!$A$6:$A$205,0)),""))</f>
        <v/>
      </c>
      <c r="E114" s="10"/>
      <c r="F114" s="10"/>
      <c r="G114" s="10"/>
      <c r="H114" s="14"/>
      <c r="I114" s="14"/>
      <c r="J114" s="10"/>
      <c r="K114" s="49"/>
      <c r="L114" s="44" t="str">
        <f t="shared" ca="1" si="2"/>
        <v/>
      </c>
      <c r="M114" s="44" t="str">
        <f t="shared" ca="1" si="3"/>
        <v/>
      </c>
      <c r="N114" s="10"/>
      <c r="O114" s="10"/>
    </row>
    <row r="115" spans="1:15" x14ac:dyDescent="0.35">
      <c r="A115" s="10"/>
      <c r="B115" s="10"/>
      <c r="C115" s="43" t="str">
        <f>IF(B115="","",IFERROR(INDEX(Findings_Register!$B$6:$B$205,MATCH(B115,Findings_Register!$A$6:$A$205,0)),""))</f>
        <v/>
      </c>
      <c r="D115" s="44" t="str">
        <f>IF(B115="","",IFERROR(INDEX(Findings_Register!$F$6:$F$205,MATCH(B115,Findings_Register!$A$6:$A$205,0)),""))</f>
        <v/>
      </c>
      <c r="E115" s="10"/>
      <c r="F115" s="10"/>
      <c r="G115" s="10"/>
      <c r="H115" s="14"/>
      <c r="I115" s="14"/>
      <c r="J115" s="10"/>
      <c r="K115" s="49"/>
      <c r="L115" s="44" t="str">
        <f t="shared" ca="1" si="2"/>
        <v/>
      </c>
      <c r="M115" s="44" t="str">
        <f t="shared" ca="1" si="3"/>
        <v/>
      </c>
      <c r="N115" s="10"/>
      <c r="O115" s="10"/>
    </row>
    <row r="116" spans="1:15" x14ac:dyDescent="0.35">
      <c r="A116" s="10"/>
      <c r="B116" s="10"/>
      <c r="C116" s="43" t="str">
        <f>IF(B116="","",IFERROR(INDEX(Findings_Register!$B$6:$B$205,MATCH(B116,Findings_Register!$A$6:$A$205,0)),""))</f>
        <v/>
      </c>
      <c r="D116" s="44" t="str">
        <f>IF(B116="","",IFERROR(INDEX(Findings_Register!$F$6:$F$205,MATCH(B116,Findings_Register!$A$6:$A$205,0)),""))</f>
        <v/>
      </c>
      <c r="E116" s="10"/>
      <c r="F116" s="10"/>
      <c r="G116" s="10"/>
      <c r="H116" s="14"/>
      <c r="I116" s="14"/>
      <c r="J116" s="10"/>
      <c r="K116" s="49"/>
      <c r="L116" s="44" t="str">
        <f t="shared" ca="1" si="2"/>
        <v/>
      </c>
      <c r="M116" s="44" t="str">
        <f t="shared" ca="1" si="3"/>
        <v/>
      </c>
      <c r="N116" s="10"/>
      <c r="O116" s="10"/>
    </row>
    <row r="117" spans="1:15" x14ac:dyDescent="0.35">
      <c r="A117" s="10"/>
      <c r="B117" s="10"/>
      <c r="C117" s="43" t="str">
        <f>IF(B117="","",IFERROR(INDEX(Findings_Register!$B$6:$B$205,MATCH(B117,Findings_Register!$A$6:$A$205,0)),""))</f>
        <v/>
      </c>
      <c r="D117" s="44" t="str">
        <f>IF(B117="","",IFERROR(INDEX(Findings_Register!$F$6:$F$205,MATCH(B117,Findings_Register!$A$6:$A$205,0)),""))</f>
        <v/>
      </c>
      <c r="E117" s="10"/>
      <c r="F117" s="10"/>
      <c r="G117" s="10"/>
      <c r="H117" s="14"/>
      <c r="I117" s="14"/>
      <c r="J117" s="10"/>
      <c r="K117" s="49"/>
      <c r="L117" s="44" t="str">
        <f t="shared" ca="1" si="2"/>
        <v/>
      </c>
      <c r="M117" s="44" t="str">
        <f t="shared" ca="1" si="3"/>
        <v/>
      </c>
      <c r="N117" s="10"/>
      <c r="O117" s="10"/>
    </row>
    <row r="118" spans="1:15" x14ac:dyDescent="0.35">
      <c r="A118" s="10"/>
      <c r="B118" s="10"/>
      <c r="C118" s="43" t="str">
        <f>IF(B118="","",IFERROR(INDEX(Findings_Register!$B$6:$B$205,MATCH(B118,Findings_Register!$A$6:$A$205,0)),""))</f>
        <v/>
      </c>
      <c r="D118" s="44" t="str">
        <f>IF(B118="","",IFERROR(INDEX(Findings_Register!$F$6:$F$205,MATCH(B118,Findings_Register!$A$6:$A$205,0)),""))</f>
        <v/>
      </c>
      <c r="E118" s="10"/>
      <c r="F118" s="10"/>
      <c r="G118" s="10"/>
      <c r="H118" s="14"/>
      <c r="I118" s="14"/>
      <c r="J118" s="10"/>
      <c r="K118" s="49"/>
      <c r="L118" s="44" t="str">
        <f t="shared" ca="1" si="2"/>
        <v/>
      </c>
      <c r="M118" s="44" t="str">
        <f t="shared" ca="1" si="3"/>
        <v/>
      </c>
      <c r="N118" s="10"/>
      <c r="O118" s="10"/>
    </row>
    <row r="119" spans="1:15" x14ac:dyDescent="0.35">
      <c r="A119" s="10"/>
      <c r="B119" s="10"/>
      <c r="C119" s="43" t="str">
        <f>IF(B119="","",IFERROR(INDEX(Findings_Register!$B$6:$B$205,MATCH(B119,Findings_Register!$A$6:$A$205,0)),""))</f>
        <v/>
      </c>
      <c r="D119" s="44" t="str">
        <f>IF(B119="","",IFERROR(INDEX(Findings_Register!$F$6:$F$205,MATCH(B119,Findings_Register!$A$6:$A$205,0)),""))</f>
        <v/>
      </c>
      <c r="E119" s="10"/>
      <c r="F119" s="10"/>
      <c r="G119" s="10"/>
      <c r="H119" s="14"/>
      <c r="I119" s="14"/>
      <c r="J119" s="10"/>
      <c r="K119" s="49"/>
      <c r="L119" s="44" t="str">
        <f t="shared" ca="1" si="2"/>
        <v/>
      </c>
      <c r="M119" s="44" t="str">
        <f t="shared" ca="1" si="3"/>
        <v/>
      </c>
      <c r="N119" s="10"/>
      <c r="O119" s="10"/>
    </row>
    <row r="120" spans="1:15" x14ac:dyDescent="0.35">
      <c r="A120" s="10"/>
      <c r="B120" s="10"/>
      <c r="C120" s="43" t="str">
        <f>IF(B120="","",IFERROR(INDEX(Findings_Register!$B$6:$B$205,MATCH(B120,Findings_Register!$A$6:$A$205,0)),""))</f>
        <v/>
      </c>
      <c r="D120" s="44" t="str">
        <f>IF(B120="","",IFERROR(INDEX(Findings_Register!$F$6:$F$205,MATCH(B120,Findings_Register!$A$6:$A$205,0)),""))</f>
        <v/>
      </c>
      <c r="E120" s="10"/>
      <c r="F120" s="10"/>
      <c r="G120" s="10"/>
      <c r="H120" s="14"/>
      <c r="I120" s="14"/>
      <c r="J120" s="10"/>
      <c r="K120" s="49"/>
      <c r="L120" s="44" t="str">
        <f t="shared" ca="1" si="2"/>
        <v/>
      </c>
      <c r="M120" s="44" t="str">
        <f t="shared" ca="1" si="3"/>
        <v/>
      </c>
      <c r="N120" s="10"/>
      <c r="O120" s="10"/>
    </row>
    <row r="121" spans="1:15" x14ac:dyDescent="0.35">
      <c r="A121" s="10"/>
      <c r="B121" s="10"/>
      <c r="C121" s="43" t="str">
        <f>IF(B121="","",IFERROR(INDEX(Findings_Register!$B$6:$B$205,MATCH(B121,Findings_Register!$A$6:$A$205,0)),""))</f>
        <v/>
      </c>
      <c r="D121" s="44" t="str">
        <f>IF(B121="","",IFERROR(INDEX(Findings_Register!$F$6:$F$205,MATCH(B121,Findings_Register!$A$6:$A$205,0)),""))</f>
        <v/>
      </c>
      <c r="E121" s="10"/>
      <c r="F121" s="10"/>
      <c r="G121" s="10"/>
      <c r="H121" s="14"/>
      <c r="I121" s="14"/>
      <c r="J121" s="10"/>
      <c r="K121" s="49"/>
      <c r="L121" s="44" t="str">
        <f t="shared" ca="1" si="2"/>
        <v/>
      </c>
      <c r="M121" s="44" t="str">
        <f t="shared" ca="1" si="3"/>
        <v/>
      </c>
      <c r="N121" s="10"/>
      <c r="O121" s="10"/>
    </row>
    <row r="122" spans="1:15" x14ac:dyDescent="0.35">
      <c r="A122" s="10"/>
      <c r="B122" s="10"/>
      <c r="C122" s="43" t="str">
        <f>IF(B122="","",IFERROR(INDEX(Findings_Register!$B$6:$B$205,MATCH(B122,Findings_Register!$A$6:$A$205,0)),""))</f>
        <v/>
      </c>
      <c r="D122" s="44" t="str">
        <f>IF(B122="","",IFERROR(INDEX(Findings_Register!$F$6:$F$205,MATCH(B122,Findings_Register!$A$6:$A$205,0)),""))</f>
        <v/>
      </c>
      <c r="E122" s="10"/>
      <c r="F122" s="10"/>
      <c r="G122" s="10"/>
      <c r="H122" s="14"/>
      <c r="I122" s="14"/>
      <c r="J122" s="10"/>
      <c r="K122" s="49"/>
      <c r="L122" s="44" t="str">
        <f t="shared" ca="1" si="2"/>
        <v/>
      </c>
      <c r="M122" s="44" t="str">
        <f t="shared" ca="1" si="3"/>
        <v/>
      </c>
      <c r="N122" s="10"/>
      <c r="O122" s="10"/>
    </row>
    <row r="123" spans="1:15" x14ac:dyDescent="0.35">
      <c r="A123" s="10"/>
      <c r="B123" s="10"/>
      <c r="C123" s="43" t="str">
        <f>IF(B123="","",IFERROR(INDEX(Findings_Register!$B$6:$B$205,MATCH(B123,Findings_Register!$A$6:$A$205,0)),""))</f>
        <v/>
      </c>
      <c r="D123" s="44" t="str">
        <f>IF(B123="","",IFERROR(INDEX(Findings_Register!$F$6:$F$205,MATCH(B123,Findings_Register!$A$6:$A$205,0)),""))</f>
        <v/>
      </c>
      <c r="E123" s="10"/>
      <c r="F123" s="10"/>
      <c r="G123" s="10"/>
      <c r="H123" s="14"/>
      <c r="I123" s="14"/>
      <c r="J123" s="10"/>
      <c r="K123" s="49"/>
      <c r="L123" s="44" t="str">
        <f t="shared" ca="1" si="2"/>
        <v/>
      </c>
      <c r="M123" s="44" t="str">
        <f t="shared" ca="1" si="3"/>
        <v/>
      </c>
      <c r="N123" s="10"/>
      <c r="O123" s="10"/>
    </row>
    <row r="124" spans="1:15" x14ac:dyDescent="0.35">
      <c r="A124" s="10"/>
      <c r="B124" s="10"/>
      <c r="C124" s="43" t="str">
        <f>IF(B124="","",IFERROR(INDEX(Findings_Register!$B$6:$B$205,MATCH(B124,Findings_Register!$A$6:$A$205,0)),""))</f>
        <v/>
      </c>
      <c r="D124" s="44" t="str">
        <f>IF(B124="","",IFERROR(INDEX(Findings_Register!$F$6:$F$205,MATCH(B124,Findings_Register!$A$6:$A$205,0)),""))</f>
        <v/>
      </c>
      <c r="E124" s="10"/>
      <c r="F124" s="10"/>
      <c r="G124" s="10"/>
      <c r="H124" s="14"/>
      <c r="I124" s="14"/>
      <c r="J124" s="10"/>
      <c r="K124" s="49"/>
      <c r="L124" s="44" t="str">
        <f t="shared" ca="1" si="2"/>
        <v/>
      </c>
      <c r="M124" s="44" t="str">
        <f t="shared" ca="1" si="3"/>
        <v/>
      </c>
      <c r="N124" s="10"/>
      <c r="O124" s="10"/>
    </row>
    <row r="125" spans="1:15" x14ac:dyDescent="0.35">
      <c r="A125" s="10"/>
      <c r="B125" s="10"/>
      <c r="C125" s="43" t="str">
        <f>IF(B125="","",IFERROR(INDEX(Findings_Register!$B$6:$B$205,MATCH(B125,Findings_Register!$A$6:$A$205,0)),""))</f>
        <v/>
      </c>
      <c r="D125" s="44" t="str">
        <f>IF(B125="","",IFERROR(INDEX(Findings_Register!$F$6:$F$205,MATCH(B125,Findings_Register!$A$6:$A$205,0)),""))</f>
        <v/>
      </c>
      <c r="E125" s="10"/>
      <c r="F125" s="10"/>
      <c r="G125" s="10"/>
      <c r="H125" s="14"/>
      <c r="I125" s="14"/>
      <c r="J125" s="10"/>
      <c r="K125" s="49"/>
      <c r="L125" s="44" t="str">
        <f t="shared" ca="1" si="2"/>
        <v/>
      </c>
      <c r="M125" s="44" t="str">
        <f t="shared" ca="1" si="3"/>
        <v/>
      </c>
      <c r="N125" s="10"/>
      <c r="O125" s="10"/>
    </row>
    <row r="126" spans="1:15" x14ac:dyDescent="0.35">
      <c r="A126" s="10"/>
      <c r="B126" s="10"/>
      <c r="C126" s="43" t="str">
        <f>IF(B126="","",IFERROR(INDEX(Findings_Register!$B$6:$B$205,MATCH(B126,Findings_Register!$A$6:$A$205,0)),""))</f>
        <v/>
      </c>
      <c r="D126" s="44" t="str">
        <f>IF(B126="","",IFERROR(INDEX(Findings_Register!$F$6:$F$205,MATCH(B126,Findings_Register!$A$6:$A$205,0)),""))</f>
        <v/>
      </c>
      <c r="E126" s="10"/>
      <c r="F126" s="10"/>
      <c r="G126" s="10"/>
      <c r="H126" s="14"/>
      <c r="I126" s="14"/>
      <c r="J126" s="10"/>
      <c r="K126" s="49"/>
      <c r="L126" s="44" t="str">
        <f t="shared" ca="1" si="2"/>
        <v/>
      </c>
      <c r="M126" s="44" t="str">
        <f t="shared" ca="1" si="3"/>
        <v/>
      </c>
      <c r="N126" s="10"/>
      <c r="O126" s="10"/>
    </row>
    <row r="127" spans="1:15" x14ac:dyDescent="0.35">
      <c r="A127" s="10"/>
      <c r="B127" s="10"/>
      <c r="C127" s="43" t="str">
        <f>IF(B127="","",IFERROR(INDEX(Findings_Register!$B$6:$B$205,MATCH(B127,Findings_Register!$A$6:$A$205,0)),""))</f>
        <v/>
      </c>
      <c r="D127" s="44" t="str">
        <f>IF(B127="","",IFERROR(INDEX(Findings_Register!$F$6:$F$205,MATCH(B127,Findings_Register!$A$6:$A$205,0)),""))</f>
        <v/>
      </c>
      <c r="E127" s="10"/>
      <c r="F127" s="10"/>
      <c r="G127" s="10"/>
      <c r="H127" s="14"/>
      <c r="I127" s="14"/>
      <c r="J127" s="10"/>
      <c r="K127" s="49"/>
      <c r="L127" s="44" t="str">
        <f t="shared" ca="1" si="2"/>
        <v/>
      </c>
      <c r="M127" s="44" t="str">
        <f t="shared" ca="1" si="3"/>
        <v/>
      </c>
      <c r="N127" s="10"/>
      <c r="O127" s="10"/>
    </row>
    <row r="128" spans="1:15" x14ac:dyDescent="0.35">
      <c r="A128" s="10"/>
      <c r="B128" s="10"/>
      <c r="C128" s="43" t="str">
        <f>IF(B128="","",IFERROR(INDEX(Findings_Register!$B$6:$B$205,MATCH(B128,Findings_Register!$A$6:$A$205,0)),""))</f>
        <v/>
      </c>
      <c r="D128" s="44" t="str">
        <f>IF(B128="","",IFERROR(INDEX(Findings_Register!$F$6:$F$205,MATCH(B128,Findings_Register!$A$6:$A$205,0)),""))</f>
        <v/>
      </c>
      <c r="E128" s="10"/>
      <c r="F128" s="10"/>
      <c r="G128" s="10"/>
      <c r="H128" s="14"/>
      <c r="I128" s="14"/>
      <c r="J128" s="10"/>
      <c r="K128" s="49"/>
      <c r="L128" s="44" t="str">
        <f t="shared" ca="1" si="2"/>
        <v/>
      </c>
      <c r="M128" s="44" t="str">
        <f t="shared" ca="1" si="3"/>
        <v/>
      </c>
      <c r="N128" s="10"/>
      <c r="O128" s="10"/>
    </row>
    <row r="129" spans="1:15" x14ac:dyDescent="0.35">
      <c r="A129" s="10"/>
      <c r="B129" s="10"/>
      <c r="C129" s="43" t="str">
        <f>IF(B129="","",IFERROR(INDEX(Findings_Register!$B$6:$B$205,MATCH(B129,Findings_Register!$A$6:$A$205,0)),""))</f>
        <v/>
      </c>
      <c r="D129" s="44" t="str">
        <f>IF(B129="","",IFERROR(INDEX(Findings_Register!$F$6:$F$205,MATCH(B129,Findings_Register!$A$6:$A$205,0)),""))</f>
        <v/>
      </c>
      <c r="E129" s="10"/>
      <c r="F129" s="10"/>
      <c r="G129" s="10"/>
      <c r="H129" s="14"/>
      <c r="I129" s="14"/>
      <c r="J129" s="10"/>
      <c r="K129" s="49"/>
      <c r="L129" s="44" t="str">
        <f t="shared" ca="1" si="2"/>
        <v/>
      </c>
      <c r="M129" s="44" t="str">
        <f t="shared" ca="1" si="3"/>
        <v/>
      </c>
      <c r="N129" s="10"/>
      <c r="O129" s="10"/>
    </row>
    <row r="130" spans="1:15" x14ac:dyDescent="0.35">
      <c r="A130" s="10"/>
      <c r="B130" s="10"/>
      <c r="C130" s="43" t="str">
        <f>IF(B130="","",IFERROR(INDEX(Findings_Register!$B$6:$B$205,MATCH(B130,Findings_Register!$A$6:$A$205,0)),""))</f>
        <v/>
      </c>
      <c r="D130" s="44" t="str">
        <f>IF(B130="","",IFERROR(INDEX(Findings_Register!$F$6:$F$205,MATCH(B130,Findings_Register!$A$6:$A$205,0)),""))</f>
        <v/>
      </c>
      <c r="E130" s="10"/>
      <c r="F130" s="10"/>
      <c r="G130" s="10"/>
      <c r="H130" s="14"/>
      <c r="I130" s="14"/>
      <c r="J130" s="10"/>
      <c r="K130" s="49"/>
      <c r="L130" s="44" t="str">
        <f t="shared" ca="1" si="2"/>
        <v/>
      </c>
      <c r="M130" s="44" t="str">
        <f t="shared" ca="1" si="3"/>
        <v/>
      </c>
      <c r="N130" s="10"/>
      <c r="O130" s="10"/>
    </row>
    <row r="131" spans="1:15" x14ac:dyDescent="0.35">
      <c r="A131" s="10"/>
      <c r="B131" s="10"/>
      <c r="C131" s="43" t="str">
        <f>IF(B131="","",IFERROR(INDEX(Findings_Register!$B$6:$B$205,MATCH(B131,Findings_Register!$A$6:$A$205,0)),""))</f>
        <v/>
      </c>
      <c r="D131" s="44" t="str">
        <f>IF(B131="","",IFERROR(INDEX(Findings_Register!$F$6:$F$205,MATCH(B131,Findings_Register!$A$6:$A$205,0)),""))</f>
        <v/>
      </c>
      <c r="E131" s="10"/>
      <c r="F131" s="10"/>
      <c r="G131" s="10"/>
      <c r="H131" s="14"/>
      <c r="I131" s="14"/>
      <c r="J131" s="10"/>
      <c r="K131" s="49"/>
      <c r="L131" s="44" t="str">
        <f t="shared" ca="1" si="2"/>
        <v/>
      </c>
      <c r="M131" s="44" t="str">
        <f t="shared" ca="1" si="3"/>
        <v/>
      </c>
      <c r="N131" s="10"/>
      <c r="O131" s="10"/>
    </row>
    <row r="132" spans="1:15" x14ac:dyDescent="0.35">
      <c r="A132" s="10"/>
      <c r="B132" s="10"/>
      <c r="C132" s="43" t="str">
        <f>IF(B132="","",IFERROR(INDEX(Findings_Register!$B$6:$B$205,MATCH(B132,Findings_Register!$A$6:$A$205,0)),""))</f>
        <v/>
      </c>
      <c r="D132" s="44" t="str">
        <f>IF(B132="","",IFERROR(INDEX(Findings_Register!$F$6:$F$205,MATCH(B132,Findings_Register!$A$6:$A$205,0)),""))</f>
        <v/>
      </c>
      <c r="E132" s="10"/>
      <c r="F132" s="10"/>
      <c r="G132" s="10"/>
      <c r="H132" s="14"/>
      <c r="I132" s="14"/>
      <c r="J132" s="10"/>
      <c r="K132" s="49"/>
      <c r="L132" s="44" t="str">
        <f t="shared" ca="1" si="2"/>
        <v/>
      </c>
      <c r="M132" s="44" t="str">
        <f t="shared" ca="1" si="3"/>
        <v/>
      </c>
      <c r="N132" s="10"/>
      <c r="O132" s="10"/>
    </row>
    <row r="133" spans="1:15" x14ac:dyDescent="0.35">
      <c r="A133" s="10"/>
      <c r="B133" s="10"/>
      <c r="C133" s="43" t="str">
        <f>IF(B133="","",IFERROR(INDEX(Findings_Register!$B$6:$B$205,MATCH(B133,Findings_Register!$A$6:$A$205,0)),""))</f>
        <v/>
      </c>
      <c r="D133" s="44" t="str">
        <f>IF(B133="","",IFERROR(INDEX(Findings_Register!$F$6:$F$205,MATCH(B133,Findings_Register!$A$6:$A$205,0)),""))</f>
        <v/>
      </c>
      <c r="E133" s="10"/>
      <c r="F133" s="10"/>
      <c r="G133" s="10"/>
      <c r="H133" s="14"/>
      <c r="I133" s="14"/>
      <c r="J133" s="10"/>
      <c r="K133" s="49"/>
      <c r="L133" s="44" t="str">
        <f t="shared" ref="L133:L196" ca="1" si="4">IF(OR(I133="",J133="Completed",J133="Verified"),"",I133-TODAY())</f>
        <v/>
      </c>
      <c r="M133" s="44" t="str">
        <f t="shared" ref="M133:M196" ca="1" si="5">IF(OR(J133="Completed",J133="Verified"),"Done",IF(I133="","",IF(TODAY()&gt;I133,"Overdue",IF(I133-TODAY()&lt;=14,"Due within 14d","On track"))))</f>
        <v/>
      </c>
      <c r="N133" s="10"/>
      <c r="O133" s="10"/>
    </row>
    <row r="134" spans="1:15" x14ac:dyDescent="0.35">
      <c r="A134" s="10"/>
      <c r="B134" s="10"/>
      <c r="C134" s="43" t="str">
        <f>IF(B134="","",IFERROR(INDEX(Findings_Register!$B$6:$B$205,MATCH(B134,Findings_Register!$A$6:$A$205,0)),""))</f>
        <v/>
      </c>
      <c r="D134" s="44" t="str">
        <f>IF(B134="","",IFERROR(INDEX(Findings_Register!$F$6:$F$205,MATCH(B134,Findings_Register!$A$6:$A$205,0)),""))</f>
        <v/>
      </c>
      <c r="E134" s="10"/>
      <c r="F134" s="10"/>
      <c r="G134" s="10"/>
      <c r="H134" s="14"/>
      <c r="I134" s="14"/>
      <c r="J134" s="10"/>
      <c r="K134" s="49"/>
      <c r="L134" s="44" t="str">
        <f t="shared" ca="1" si="4"/>
        <v/>
      </c>
      <c r="M134" s="44" t="str">
        <f t="shared" ca="1" si="5"/>
        <v/>
      </c>
      <c r="N134" s="10"/>
      <c r="O134" s="10"/>
    </row>
    <row r="135" spans="1:15" x14ac:dyDescent="0.35">
      <c r="A135" s="10"/>
      <c r="B135" s="10"/>
      <c r="C135" s="43" t="str">
        <f>IF(B135="","",IFERROR(INDEX(Findings_Register!$B$6:$B$205,MATCH(B135,Findings_Register!$A$6:$A$205,0)),""))</f>
        <v/>
      </c>
      <c r="D135" s="44" t="str">
        <f>IF(B135="","",IFERROR(INDEX(Findings_Register!$F$6:$F$205,MATCH(B135,Findings_Register!$A$6:$A$205,0)),""))</f>
        <v/>
      </c>
      <c r="E135" s="10"/>
      <c r="F135" s="10"/>
      <c r="G135" s="10"/>
      <c r="H135" s="14"/>
      <c r="I135" s="14"/>
      <c r="J135" s="10"/>
      <c r="K135" s="49"/>
      <c r="L135" s="44" t="str">
        <f t="shared" ca="1" si="4"/>
        <v/>
      </c>
      <c r="M135" s="44" t="str">
        <f t="shared" ca="1" si="5"/>
        <v/>
      </c>
      <c r="N135" s="10"/>
      <c r="O135" s="10"/>
    </row>
    <row r="136" spans="1:15" x14ac:dyDescent="0.35">
      <c r="A136" s="10"/>
      <c r="B136" s="10"/>
      <c r="C136" s="43" t="str">
        <f>IF(B136="","",IFERROR(INDEX(Findings_Register!$B$6:$B$205,MATCH(B136,Findings_Register!$A$6:$A$205,0)),""))</f>
        <v/>
      </c>
      <c r="D136" s="44" t="str">
        <f>IF(B136="","",IFERROR(INDEX(Findings_Register!$F$6:$F$205,MATCH(B136,Findings_Register!$A$6:$A$205,0)),""))</f>
        <v/>
      </c>
      <c r="E136" s="10"/>
      <c r="F136" s="10"/>
      <c r="G136" s="10"/>
      <c r="H136" s="14"/>
      <c r="I136" s="14"/>
      <c r="J136" s="10"/>
      <c r="K136" s="49"/>
      <c r="L136" s="44" t="str">
        <f t="shared" ca="1" si="4"/>
        <v/>
      </c>
      <c r="M136" s="44" t="str">
        <f t="shared" ca="1" si="5"/>
        <v/>
      </c>
      <c r="N136" s="10"/>
      <c r="O136" s="10"/>
    </row>
    <row r="137" spans="1:15" x14ac:dyDescent="0.35">
      <c r="A137" s="10"/>
      <c r="B137" s="10"/>
      <c r="C137" s="43" t="str">
        <f>IF(B137="","",IFERROR(INDEX(Findings_Register!$B$6:$B$205,MATCH(B137,Findings_Register!$A$6:$A$205,0)),""))</f>
        <v/>
      </c>
      <c r="D137" s="44" t="str">
        <f>IF(B137="","",IFERROR(INDEX(Findings_Register!$F$6:$F$205,MATCH(B137,Findings_Register!$A$6:$A$205,0)),""))</f>
        <v/>
      </c>
      <c r="E137" s="10"/>
      <c r="F137" s="10"/>
      <c r="G137" s="10"/>
      <c r="H137" s="14"/>
      <c r="I137" s="14"/>
      <c r="J137" s="10"/>
      <c r="K137" s="49"/>
      <c r="L137" s="44" t="str">
        <f t="shared" ca="1" si="4"/>
        <v/>
      </c>
      <c r="M137" s="44" t="str">
        <f t="shared" ca="1" si="5"/>
        <v/>
      </c>
      <c r="N137" s="10"/>
      <c r="O137" s="10"/>
    </row>
    <row r="138" spans="1:15" x14ac:dyDescent="0.35">
      <c r="A138" s="10"/>
      <c r="B138" s="10"/>
      <c r="C138" s="43" t="str">
        <f>IF(B138="","",IFERROR(INDEX(Findings_Register!$B$6:$B$205,MATCH(B138,Findings_Register!$A$6:$A$205,0)),""))</f>
        <v/>
      </c>
      <c r="D138" s="44" t="str">
        <f>IF(B138="","",IFERROR(INDEX(Findings_Register!$F$6:$F$205,MATCH(B138,Findings_Register!$A$6:$A$205,0)),""))</f>
        <v/>
      </c>
      <c r="E138" s="10"/>
      <c r="F138" s="10"/>
      <c r="G138" s="10"/>
      <c r="H138" s="14"/>
      <c r="I138" s="14"/>
      <c r="J138" s="10"/>
      <c r="K138" s="49"/>
      <c r="L138" s="44" t="str">
        <f t="shared" ca="1" si="4"/>
        <v/>
      </c>
      <c r="M138" s="44" t="str">
        <f t="shared" ca="1" si="5"/>
        <v/>
      </c>
      <c r="N138" s="10"/>
      <c r="O138" s="10"/>
    </row>
    <row r="139" spans="1:15" x14ac:dyDescent="0.35">
      <c r="A139" s="10"/>
      <c r="B139" s="10"/>
      <c r="C139" s="43" t="str">
        <f>IF(B139="","",IFERROR(INDEX(Findings_Register!$B$6:$B$205,MATCH(B139,Findings_Register!$A$6:$A$205,0)),""))</f>
        <v/>
      </c>
      <c r="D139" s="44" t="str">
        <f>IF(B139="","",IFERROR(INDEX(Findings_Register!$F$6:$F$205,MATCH(B139,Findings_Register!$A$6:$A$205,0)),""))</f>
        <v/>
      </c>
      <c r="E139" s="10"/>
      <c r="F139" s="10"/>
      <c r="G139" s="10"/>
      <c r="H139" s="14"/>
      <c r="I139" s="14"/>
      <c r="J139" s="10"/>
      <c r="K139" s="49"/>
      <c r="L139" s="44" t="str">
        <f t="shared" ca="1" si="4"/>
        <v/>
      </c>
      <c r="M139" s="44" t="str">
        <f t="shared" ca="1" si="5"/>
        <v/>
      </c>
      <c r="N139" s="10"/>
      <c r="O139" s="10"/>
    </row>
    <row r="140" spans="1:15" x14ac:dyDescent="0.35">
      <c r="A140" s="10"/>
      <c r="B140" s="10"/>
      <c r="C140" s="43" t="str">
        <f>IF(B140="","",IFERROR(INDEX(Findings_Register!$B$6:$B$205,MATCH(B140,Findings_Register!$A$6:$A$205,0)),""))</f>
        <v/>
      </c>
      <c r="D140" s="44" t="str">
        <f>IF(B140="","",IFERROR(INDEX(Findings_Register!$F$6:$F$205,MATCH(B140,Findings_Register!$A$6:$A$205,0)),""))</f>
        <v/>
      </c>
      <c r="E140" s="10"/>
      <c r="F140" s="10"/>
      <c r="G140" s="10"/>
      <c r="H140" s="14"/>
      <c r="I140" s="14"/>
      <c r="J140" s="10"/>
      <c r="K140" s="49"/>
      <c r="L140" s="44" t="str">
        <f t="shared" ca="1" si="4"/>
        <v/>
      </c>
      <c r="M140" s="44" t="str">
        <f t="shared" ca="1" si="5"/>
        <v/>
      </c>
      <c r="N140" s="10"/>
      <c r="O140" s="10"/>
    </row>
    <row r="141" spans="1:15" x14ac:dyDescent="0.35">
      <c r="A141" s="10"/>
      <c r="B141" s="10"/>
      <c r="C141" s="43" t="str">
        <f>IF(B141="","",IFERROR(INDEX(Findings_Register!$B$6:$B$205,MATCH(B141,Findings_Register!$A$6:$A$205,0)),""))</f>
        <v/>
      </c>
      <c r="D141" s="44" t="str">
        <f>IF(B141="","",IFERROR(INDEX(Findings_Register!$F$6:$F$205,MATCH(B141,Findings_Register!$A$6:$A$205,0)),""))</f>
        <v/>
      </c>
      <c r="E141" s="10"/>
      <c r="F141" s="10"/>
      <c r="G141" s="10"/>
      <c r="H141" s="14"/>
      <c r="I141" s="14"/>
      <c r="J141" s="10"/>
      <c r="K141" s="49"/>
      <c r="L141" s="44" t="str">
        <f t="shared" ca="1" si="4"/>
        <v/>
      </c>
      <c r="M141" s="44" t="str">
        <f t="shared" ca="1" si="5"/>
        <v/>
      </c>
      <c r="N141" s="10"/>
      <c r="O141" s="10"/>
    </row>
    <row r="142" spans="1:15" x14ac:dyDescent="0.35">
      <c r="A142" s="10"/>
      <c r="B142" s="10"/>
      <c r="C142" s="43" t="str">
        <f>IF(B142="","",IFERROR(INDEX(Findings_Register!$B$6:$B$205,MATCH(B142,Findings_Register!$A$6:$A$205,0)),""))</f>
        <v/>
      </c>
      <c r="D142" s="44" t="str">
        <f>IF(B142="","",IFERROR(INDEX(Findings_Register!$F$6:$F$205,MATCH(B142,Findings_Register!$A$6:$A$205,0)),""))</f>
        <v/>
      </c>
      <c r="E142" s="10"/>
      <c r="F142" s="10"/>
      <c r="G142" s="10"/>
      <c r="H142" s="14"/>
      <c r="I142" s="14"/>
      <c r="J142" s="10"/>
      <c r="K142" s="49"/>
      <c r="L142" s="44" t="str">
        <f t="shared" ca="1" si="4"/>
        <v/>
      </c>
      <c r="M142" s="44" t="str">
        <f t="shared" ca="1" si="5"/>
        <v/>
      </c>
      <c r="N142" s="10"/>
      <c r="O142" s="10"/>
    </row>
    <row r="143" spans="1:15" x14ac:dyDescent="0.35">
      <c r="A143" s="10"/>
      <c r="B143" s="10"/>
      <c r="C143" s="43" t="str">
        <f>IF(B143="","",IFERROR(INDEX(Findings_Register!$B$6:$B$205,MATCH(B143,Findings_Register!$A$6:$A$205,0)),""))</f>
        <v/>
      </c>
      <c r="D143" s="44" t="str">
        <f>IF(B143="","",IFERROR(INDEX(Findings_Register!$F$6:$F$205,MATCH(B143,Findings_Register!$A$6:$A$205,0)),""))</f>
        <v/>
      </c>
      <c r="E143" s="10"/>
      <c r="F143" s="10"/>
      <c r="G143" s="10"/>
      <c r="H143" s="14"/>
      <c r="I143" s="14"/>
      <c r="J143" s="10"/>
      <c r="K143" s="49"/>
      <c r="L143" s="44" t="str">
        <f t="shared" ca="1" si="4"/>
        <v/>
      </c>
      <c r="M143" s="44" t="str">
        <f t="shared" ca="1" si="5"/>
        <v/>
      </c>
      <c r="N143" s="10"/>
      <c r="O143" s="10"/>
    </row>
    <row r="144" spans="1:15" x14ac:dyDescent="0.35">
      <c r="A144" s="10"/>
      <c r="B144" s="10"/>
      <c r="C144" s="43" t="str">
        <f>IF(B144="","",IFERROR(INDEX(Findings_Register!$B$6:$B$205,MATCH(B144,Findings_Register!$A$6:$A$205,0)),""))</f>
        <v/>
      </c>
      <c r="D144" s="44" t="str">
        <f>IF(B144="","",IFERROR(INDEX(Findings_Register!$F$6:$F$205,MATCH(B144,Findings_Register!$A$6:$A$205,0)),""))</f>
        <v/>
      </c>
      <c r="E144" s="10"/>
      <c r="F144" s="10"/>
      <c r="G144" s="10"/>
      <c r="H144" s="14"/>
      <c r="I144" s="14"/>
      <c r="J144" s="10"/>
      <c r="K144" s="49"/>
      <c r="L144" s="44" t="str">
        <f t="shared" ca="1" si="4"/>
        <v/>
      </c>
      <c r="M144" s="44" t="str">
        <f t="shared" ca="1" si="5"/>
        <v/>
      </c>
      <c r="N144" s="10"/>
      <c r="O144" s="10"/>
    </row>
    <row r="145" spans="1:15" x14ac:dyDescent="0.35">
      <c r="A145" s="10"/>
      <c r="B145" s="10"/>
      <c r="C145" s="43" t="str">
        <f>IF(B145="","",IFERROR(INDEX(Findings_Register!$B$6:$B$205,MATCH(B145,Findings_Register!$A$6:$A$205,0)),""))</f>
        <v/>
      </c>
      <c r="D145" s="44" t="str">
        <f>IF(B145="","",IFERROR(INDEX(Findings_Register!$F$6:$F$205,MATCH(B145,Findings_Register!$A$6:$A$205,0)),""))</f>
        <v/>
      </c>
      <c r="E145" s="10"/>
      <c r="F145" s="10"/>
      <c r="G145" s="10"/>
      <c r="H145" s="14"/>
      <c r="I145" s="14"/>
      <c r="J145" s="10"/>
      <c r="K145" s="49"/>
      <c r="L145" s="44" t="str">
        <f t="shared" ca="1" si="4"/>
        <v/>
      </c>
      <c r="M145" s="44" t="str">
        <f t="shared" ca="1" si="5"/>
        <v/>
      </c>
      <c r="N145" s="10"/>
      <c r="O145" s="10"/>
    </row>
    <row r="146" spans="1:15" x14ac:dyDescent="0.35">
      <c r="A146" s="10"/>
      <c r="B146" s="10"/>
      <c r="C146" s="43" t="str">
        <f>IF(B146="","",IFERROR(INDEX(Findings_Register!$B$6:$B$205,MATCH(B146,Findings_Register!$A$6:$A$205,0)),""))</f>
        <v/>
      </c>
      <c r="D146" s="44" t="str">
        <f>IF(B146="","",IFERROR(INDEX(Findings_Register!$F$6:$F$205,MATCH(B146,Findings_Register!$A$6:$A$205,0)),""))</f>
        <v/>
      </c>
      <c r="E146" s="10"/>
      <c r="F146" s="10"/>
      <c r="G146" s="10"/>
      <c r="H146" s="14"/>
      <c r="I146" s="14"/>
      <c r="J146" s="10"/>
      <c r="K146" s="49"/>
      <c r="L146" s="44" t="str">
        <f t="shared" ca="1" si="4"/>
        <v/>
      </c>
      <c r="M146" s="44" t="str">
        <f t="shared" ca="1" si="5"/>
        <v/>
      </c>
      <c r="N146" s="10"/>
      <c r="O146" s="10"/>
    </row>
    <row r="147" spans="1:15" x14ac:dyDescent="0.35">
      <c r="A147" s="10"/>
      <c r="B147" s="10"/>
      <c r="C147" s="43" t="str">
        <f>IF(B147="","",IFERROR(INDEX(Findings_Register!$B$6:$B$205,MATCH(B147,Findings_Register!$A$6:$A$205,0)),""))</f>
        <v/>
      </c>
      <c r="D147" s="44" t="str">
        <f>IF(B147="","",IFERROR(INDEX(Findings_Register!$F$6:$F$205,MATCH(B147,Findings_Register!$A$6:$A$205,0)),""))</f>
        <v/>
      </c>
      <c r="E147" s="10"/>
      <c r="F147" s="10"/>
      <c r="G147" s="10"/>
      <c r="H147" s="14"/>
      <c r="I147" s="14"/>
      <c r="J147" s="10"/>
      <c r="K147" s="49"/>
      <c r="L147" s="44" t="str">
        <f t="shared" ca="1" si="4"/>
        <v/>
      </c>
      <c r="M147" s="44" t="str">
        <f t="shared" ca="1" si="5"/>
        <v/>
      </c>
      <c r="N147" s="10"/>
      <c r="O147" s="10"/>
    </row>
    <row r="148" spans="1:15" x14ac:dyDescent="0.35">
      <c r="A148" s="10"/>
      <c r="B148" s="10"/>
      <c r="C148" s="43" t="str">
        <f>IF(B148="","",IFERROR(INDEX(Findings_Register!$B$6:$B$205,MATCH(B148,Findings_Register!$A$6:$A$205,0)),""))</f>
        <v/>
      </c>
      <c r="D148" s="44" t="str">
        <f>IF(B148="","",IFERROR(INDEX(Findings_Register!$F$6:$F$205,MATCH(B148,Findings_Register!$A$6:$A$205,0)),""))</f>
        <v/>
      </c>
      <c r="E148" s="10"/>
      <c r="F148" s="10"/>
      <c r="G148" s="10"/>
      <c r="H148" s="14"/>
      <c r="I148" s="14"/>
      <c r="J148" s="10"/>
      <c r="K148" s="49"/>
      <c r="L148" s="44" t="str">
        <f t="shared" ca="1" si="4"/>
        <v/>
      </c>
      <c r="M148" s="44" t="str">
        <f t="shared" ca="1" si="5"/>
        <v/>
      </c>
      <c r="N148" s="10"/>
      <c r="O148" s="10"/>
    </row>
    <row r="149" spans="1:15" x14ac:dyDescent="0.35">
      <c r="A149" s="10"/>
      <c r="B149" s="10"/>
      <c r="C149" s="43" t="str">
        <f>IF(B149="","",IFERROR(INDEX(Findings_Register!$B$6:$B$205,MATCH(B149,Findings_Register!$A$6:$A$205,0)),""))</f>
        <v/>
      </c>
      <c r="D149" s="44" t="str">
        <f>IF(B149="","",IFERROR(INDEX(Findings_Register!$F$6:$F$205,MATCH(B149,Findings_Register!$A$6:$A$205,0)),""))</f>
        <v/>
      </c>
      <c r="E149" s="10"/>
      <c r="F149" s="10"/>
      <c r="G149" s="10"/>
      <c r="H149" s="14"/>
      <c r="I149" s="14"/>
      <c r="J149" s="10"/>
      <c r="K149" s="49"/>
      <c r="L149" s="44" t="str">
        <f t="shared" ca="1" si="4"/>
        <v/>
      </c>
      <c r="M149" s="44" t="str">
        <f t="shared" ca="1" si="5"/>
        <v/>
      </c>
      <c r="N149" s="10"/>
      <c r="O149" s="10"/>
    </row>
    <row r="150" spans="1:15" x14ac:dyDescent="0.35">
      <c r="A150" s="10"/>
      <c r="B150" s="10"/>
      <c r="C150" s="43" t="str">
        <f>IF(B150="","",IFERROR(INDEX(Findings_Register!$B$6:$B$205,MATCH(B150,Findings_Register!$A$6:$A$205,0)),""))</f>
        <v/>
      </c>
      <c r="D150" s="44" t="str">
        <f>IF(B150="","",IFERROR(INDEX(Findings_Register!$F$6:$F$205,MATCH(B150,Findings_Register!$A$6:$A$205,0)),""))</f>
        <v/>
      </c>
      <c r="E150" s="10"/>
      <c r="F150" s="10"/>
      <c r="G150" s="10"/>
      <c r="H150" s="14"/>
      <c r="I150" s="14"/>
      <c r="J150" s="10"/>
      <c r="K150" s="49"/>
      <c r="L150" s="44" t="str">
        <f t="shared" ca="1" si="4"/>
        <v/>
      </c>
      <c r="M150" s="44" t="str">
        <f t="shared" ca="1" si="5"/>
        <v/>
      </c>
      <c r="N150" s="10"/>
      <c r="O150" s="10"/>
    </row>
    <row r="151" spans="1:15" x14ac:dyDescent="0.35">
      <c r="A151" s="10"/>
      <c r="B151" s="10"/>
      <c r="C151" s="43" t="str">
        <f>IF(B151="","",IFERROR(INDEX(Findings_Register!$B$6:$B$205,MATCH(B151,Findings_Register!$A$6:$A$205,0)),""))</f>
        <v/>
      </c>
      <c r="D151" s="44" t="str">
        <f>IF(B151="","",IFERROR(INDEX(Findings_Register!$F$6:$F$205,MATCH(B151,Findings_Register!$A$6:$A$205,0)),""))</f>
        <v/>
      </c>
      <c r="E151" s="10"/>
      <c r="F151" s="10"/>
      <c r="G151" s="10"/>
      <c r="H151" s="14"/>
      <c r="I151" s="14"/>
      <c r="J151" s="10"/>
      <c r="K151" s="49"/>
      <c r="L151" s="44" t="str">
        <f t="shared" ca="1" si="4"/>
        <v/>
      </c>
      <c r="M151" s="44" t="str">
        <f t="shared" ca="1" si="5"/>
        <v/>
      </c>
      <c r="N151" s="10"/>
      <c r="O151" s="10"/>
    </row>
    <row r="152" spans="1:15" x14ac:dyDescent="0.35">
      <c r="A152" s="10"/>
      <c r="B152" s="10"/>
      <c r="C152" s="43" t="str">
        <f>IF(B152="","",IFERROR(INDEX(Findings_Register!$B$6:$B$205,MATCH(B152,Findings_Register!$A$6:$A$205,0)),""))</f>
        <v/>
      </c>
      <c r="D152" s="44" t="str">
        <f>IF(B152="","",IFERROR(INDEX(Findings_Register!$F$6:$F$205,MATCH(B152,Findings_Register!$A$6:$A$205,0)),""))</f>
        <v/>
      </c>
      <c r="E152" s="10"/>
      <c r="F152" s="10"/>
      <c r="G152" s="10"/>
      <c r="H152" s="14"/>
      <c r="I152" s="14"/>
      <c r="J152" s="10"/>
      <c r="K152" s="49"/>
      <c r="L152" s="44" t="str">
        <f t="shared" ca="1" si="4"/>
        <v/>
      </c>
      <c r="M152" s="44" t="str">
        <f t="shared" ca="1" si="5"/>
        <v/>
      </c>
      <c r="N152" s="10"/>
      <c r="O152" s="10"/>
    </row>
    <row r="153" spans="1:15" x14ac:dyDescent="0.35">
      <c r="A153" s="10"/>
      <c r="B153" s="10"/>
      <c r="C153" s="43" t="str">
        <f>IF(B153="","",IFERROR(INDEX(Findings_Register!$B$6:$B$205,MATCH(B153,Findings_Register!$A$6:$A$205,0)),""))</f>
        <v/>
      </c>
      <c r="D153" s="44" t="str">
        <f>IF(B153="","",IFERROR(INDEX(Findings_Register!$F$6:$F$205,MATCH(B153,Findings_Register!$A$6:$A$205,0)),""))</f>
        <v/>
      </c>
      <c r="E153" s="10"/>
      <c r="F153" s="10"/>
      <c r="G153" s="10"/>
      <c r="H153" s="14"/>
      <c r="I153" s="14"/>
      <c r="J153" s="10"/>
      <c r="K153" s="49"/>
      <c r="L153" s="44" t="str">
        <f t="shared" ca="1" si="4"/>
        <v/>
      </c>
      <c r="M153" s="44" t="str">
        <f t="shared" ca="1" si="5"/>
        <v/>
      </c>
      <c r="N153" s="10"/>
      <c r="O153" s="10"/>
    </row>
    <row r="154" spans="1:15" x14ac:dyDescent="0.35">
      <c r="A154" s="10"/>
      <c r="B154" s="10"/>
      <c r="C154" s="43" t="str">
        <f>IF(B154="","",IFERROR(INDEX(Findings_Register!$B$6:$B$205,MATCH(B154,Findings_Register!$A$6:$A$205,0)),""))</f>
        <v/>
      </c>
      <c r="D154" s="44" t="str">
        <f>IF(B154="","",IFERROR(INDEX(Findings_Register!$F$6:$F$205,MATCH(B154,Findings_Register!$A$6:$A$205,0)),""))</f>
        <v/>
      </c>
      <c r="E154" s="10"/>
      <c r="F154" s="10"/>
      <c r="G154" s="10"/>
      <c r="H154" s="14"/>
      <c r="I154" s="14"/>
      <c r="J154" s="10"/>
      <c r="K154" s="49"/>
      <c r="L154" s="44" t="str">
        <f t="shared" ca="1" si="4"/>
        <v/>
      </c>
      <c r="M154" s="44" t="str">
        <f t="shared" ca="1" si="5"/>
        <v/>
      </c>
      <c r="N154" s="10"/>
      <c r="O154" s="10"/>
    </row>
    <row r="155" spans="1:15" x14ac:dyDescent="0.35">
      <c r="A155" s="10"/>
      <c r="B155" s="10"/>
      <c r="C155" s="43" t="str">
        <f>IF(B155="","",IFERROR(INDEX(Findings_Register!$B$6:$B$205,MATCH(B155,Findings_Register!$A$6:$A$205,0)),""))</f>
        <v/>
      </c>
      <c r="D155" s="44" t="str">
        <f>IF(B155="","",IFERROR(INDEX(Findings_Register!$F$6:$F$205,MATCH(B155,Findings_Register!$A$6:$A$205,0)),""))</f>
        <v/>
      </c>
      <c r="E155" s="10"/>
      <c r="F155" s="10"/>
      <c r="G155" s="10"/>
      <c r="H155" s="14"/>
      <c r="I155" s="14"/>
      <c r="J155" s="10"/>
      <c r="K155" s="49"/>
      <c r="L155" s="44" t="str">
        <f t="shared" ca="1" si="4"/>
        <v/>
      </c>
      <c r="M155" s="44" t="str">
        <f t="shared" ca="1" si="5"/>
        <v/>
      </c>
      <c r="N155" s="10"/>
      <c r="O155" s="10"/>
    </row>
    <row r="156" spans="1:15" x14ac:dyDescent="0.35">
      <c r="A156" s="10"/>
      <c r="B156" s="10"/>
      <c r="C156" s="43" t="str">
        <f>IF(B156="","",IFERROR(INDEX(Findings_Register!$B$6:$B$205,MATCH(B156,Findings_Register!$A$6:$A$205,0)),""))</f>
        <v/>
      </c>
      <c r="D156" s="44" t="str">
        <f>IF(B156="","",IFERROR(INDEX(Findings_Register!$F$6:$F$205,MATCH(B156,Findings_Register!$A$6:$A$205,0)),""))</f>
        <v/>
      </c>
      <c r="E156" s="10"/>
      <c r="F156" s="10"/>
      <c r="G156" s="10"/>
      <c r="H156" s="14"/>
      <c r="I156" s="14"/>
      <c r="J156" s="10"/>
      <c r="K156" s="49"/>
      <c r="L156" s="44" t="str">
        <f t="shared" ca="1" si="4"/>
        <v/>
      </c>
      <c r="M156" s="44" t="str">
        <f t="shared" ca="1" si="5"/>
        <v/>
      </c>
      <c r="N156" s="10"/>
      <c r="O156" s="10"/>
    </row>
    <row r="157" spans="1:15" x14ac:dyDescent="0.35">
      <c r="A157" s="10"/>
      <c r="B157" s="10"/>
      <c r="C157" s="43" t="str">
        <f>IF(B157="","",IFERROR(INDEX(Findings_Register!$B$6:$B$205,MATCH(B157,Findings_Register!$A$6:$A$205,0)),""))</f>
        <v/>
      </c>
      <c r="D157" s="44" t="str">
        <f>IF(B157="","",IFERROR(INDEX(Findings_Register!$F$6:$F$205,MATCH(B157,Findings_Register!$A$6:$A$205,0)),""))</f>
        <v/>
      </c>
      <c r="E157" s="10"/>
      <c r="F157" s="10"/>
      <c r="G157" s="10"/>
      <c r="H157" s="14"/>
      <c r="I157" s="14"/>
      <c r="J157" s="10"/>
      <c r="K157" s="49"/>
      <c r="L157" s="44" t="str">
        <f t="shared" ca="1" si="4"/>
        <v/>
      </c>
      <c r="M157" s="44" t="str">
        <f t="shared" ca="1" si="5"/>
        <v/>
      </c>
      <c r="N157" s="10"/>
      <c r="O157" s="10"/>
    </row>
    <row r="158" spans="1:15" x14ac:dyDescent="0.35">
      <c r="A158" s="10"/>
      <c r="B158" s="10"/>
      <c r="C158" s="43" t="str">
        <f>IF(B158="","",IFERROR(INDEX(Findings_Register!$B$6:$B$205,MATCH(B158,Findings_Register!$A$6:$A$205,0)),""))</f>
        <v/>
      </c>
      <c r="D158" s="44" t="str">
        <f>IF(B158="","",IFERROR(INDEX(Findings_Register!$F$6:$F$205,MATCH(B158,Findings_Register!$A$6:$A$205,0)),""))</f>
        <v/>
      </c>
      <c r="E158" s="10"/>
      <c r="F158" s="10"/>
      <c r="G158" s="10"/>
      <c r="H158" s="14"/>
      <c r="I158" s="14"/>
      <c r="J158" s="10"/>
      <c r="K158" s="49"/>
      <c r="L158" s="44" t="str">
        <f t="shared" ca="1" si="4"/>
        <v/>
      </c>
      <c r="M158" s="44" t="str">
        <f t="shared" ca="1" si="5"/>
        <v/>
      </c>
      <c r="N158" s="10"/>
      <c r="O158" s="10"/>
    </row>
    <row r="159" spans="1:15" x14ac:dyDescent="0.35">
      <c r="A159" s="10"/>
      <c r="B159" s="10"/>
      <c r="C159" s="43" t="str">
        <f>IF(B159="","",IFERROR(INDEX(Findings_Register!$B$6:$B$205,MATCH(B159,Findings_Register!$A$6:$A$205,0)),""))</f>
        <v/>
      </c>
      <c r="D159" s="44" t="str">
        <f>IF(B159="","",IFERROR(INDEX(Findings_Register!$F$6:$F$205,MATCH(B159,Findings_Register!$A$6:$A$205,0)),""))</f>
        <v/>
      </c>
      <c r="E159" s="10"/>
      <c r="F159" s="10"/>
      <c r="G159" s="10"/>
      <c r="H159" s="14"/>
      <c r="I159" s="14"/>
      <c r="J159" s="10"/>
      <c r="K159" s="49"/>
      <c r="L159" s="44" t="str">
        <f t="shared" ca="1" si="4"/>
        <v/>
      </c>
      <c r="M159" s="44" t="str">
        <f t="shared" ca="1" si="5"/>
        <v/>
      </c>
      <c r="N159" s="10"/>
      <c r="O159" s="10"/>
    </row>
    <row r="160" spans="1:15" x14ac:dyDescent="0.35">
      <c r="A160" s="10"/>
      <c r="B160" s="10"/>
      <c r="C160" s="43" t="str">
        <f>IF(B160="","",IFERROR(INDEX(Findings_Register!$B$6:$B$205,MATCH(B160,Findings_Register!$A$6:$A$205,0)),""))</f>
        <v/>
      </c>
      <c r="D160" s="44" t="str">
        <f>IF(B160="","",IFERROR(INDEX(Findings_Register!$F$6:$F$205,MATCH(B160,Findings_Register!$A$6:$A$205,0)),""))</f>
        <v/>
      </c>
      <c r="E160" s="10"/>
      <c r="F160" s="10"/>
      <c r="G160" s="10"/>
      <c r="H160" s="14"/>
      <c r="I160" s="14"/>
      <c r="J160" s="10"/>
      <c r="K160" s="49"/>
      <c r="L160" s="44" t="str">
        <f t="shared" ca="1" si="4"/>
        <v/>
      </c>
      <c r="M160" s="44" t="str">
        <f t="shared" ca="1" si="5"/>
        <v/>
      </c>
      <c r="N160" s="10"/>
      <c r="O160" s="10"/>
    </row>
    <row r="161" spans="1:15" x14ac:dyDescent="0.35">
      <c r="A161" s="10"/>
      <c r="B161" s="10"/>
      <c r="C161" s="43" t="str">
        <f>IF(B161="","",IFERROR(INDEX(Findings_Register!$B$6:$B$205,MATCH(B161,Findings_Register!$A$6:$A$205,0)),""))</f>
        <v/>
      </c>
      <c r="D161" s="44" t="str">
        <f>IF(B161="","",IFERROR(INDEX(Findings_Register!$F$6:$F$205,MATCH(B161,Findings_Register!$A$6:$A$205,0)),""))</f>
        <v/>
      </c>
      <c r="E161" s="10"/>
      <c r="F161" s="10"/>
      <c r="G161" s="10"/>
      <c r="H161" s="14"/>
      <c r="I161" s="14"/>
      <c r="J161" s="10"/>
      <c r="K161" s="49"/>
      <c r="L161" s="44" t="str">
        <f t="shared" ca="1" si="4"/>
        <v/>
      </c>
      <c r="M161" s="44" t="str">
        <f t="shared" ca="1" si="5"/>
        <v/>
      </c>
      <c r="N161" s="10"/>
      <c r="O161" s="10"/>
    </row>
    <row r="162" spans="1:15" x14ac:dyDescent="0.35">
      <c r="A162" s="10"/>
      <c r="B162" s="10"/>
      <c r="C162" s="43" t="str">
        <f>IF(B162="","",IFERROR(INDEX(Findings_Register!$B$6:$B$205,MATCH(B162,Findings_Register!$A$6:$A$205,0)),""))</f>
        <v/>
      </c>
      <c r="D162" s="44" t="str">
        <f>IF(B162="","",IFERROR(INDEX(Findings_Register!$F$6:$F$205,MATCH(B162,Findings_Register!$A$6:$A$205,0)),""))</f>
        <v/>
      </c>
      <c r="E162" s="10"/>
      <c r="F162" s="10"/>
      <c r="G162" s="10"/>
      <c r="H162" s="14"/>
      <c r="I162" s="14"/>
      <c r="J162" s="10"/>
      <c r="K162" s="49"/>
      <c r="L162" s="44" t="str">
        <f t="shared" ca="1" si="4"/>
        <v/>
      </c>
      <c r="M162" s="44" t="str">
        <f t="shared" ca="1" si="5"/>
        <v/>
      </c>
      <c r="N162" s="10"/>
      <c r="O162" s="10"/>
    </row>
    <row r="163" spans="1:15" x14ac:dyDescent="0.35">
      <c r="A163" s="10"/>
      <c r="B163" s="10"/>
      <c r="C163" s="43" t="str">
        <f>IF(B163="","",IFERROR(INDEX(Findings_Register!$B$6:$B$205,MATCH(B163,Findings_Register!$A$6:$A$205,0)),""))</f>
        <v/>
      </c>
      <c r="D163" s="44" t="str">
        <f>IF(B163="","",IFERROR(INDEX(Findings_Register!$F$6:$F$205,MATCH(B163,Findings_Register!$A$6:$A$205,0)),""))</f>
        <v/>
      </c>
      <c r="E163" s="10"/>
      <c r="F163" s="10"/>
      <c r="G163" s="10"/>
      <c r="H163" s="14"/>
      <c r="I163" s="14"/>
      <c r="J163" s="10"/>
      <c r="K163" s="49"/>
      <c r="L163" s="44" t="str">
        <f t="shared" ca="1" si="4"/>
        <v/>
      </c>
      <c r="M163" s="44" t="str">
        <f t="shared" ca="1" si="5"/>
        <v/>
      </c>
      <c r="N163" s="10"/>
      <c r="O163" s="10"/>
    </row>
    <row r="164" spans="1:15" x14ac:dyDescent="0.35">
      <c r="A164" s="10"/>
      <c r="B164" s="10"/>
      <c r="C164" s="43" t="str">
        <f>IF(B164="","",IFERROR(INDEX(Findings_Register!$B$6:$B$205,MATCH(B164,Findings_Register!$A$6:$A$205,0)),""))</f>
        <v/>
      </c>
      <c r="D164" s="44" t="str">
        <f>IF(B164="","",IFERROR(INDEX(Findings_Register!$F$6:$F$205,MATCH(B164,Findings_Register!$A$6:$A$205,0)),""))</f>
        <v/>
      </c>
      <c r="E164" s="10"/>
      <c r="F164" s="10"/>
      <c r="G164" s="10"/>
      <c r="H164" s="14"/>
      <c r="I164" s="14"/>
      <c r="J164" s="10"/>
      <c r="K164" s="49"/>
      <c r="L164" s="44" t="str">
        <f t="shared" ca="1" si="4"/>
        <v/>
      </c>
      <c r="M164" s="44" t="str">
        <f t="shared" ca="1" si="5"/>
        <v/>
      </c>
      <c r="N164" s="10"/>
      <c r="O164" s="10"/>
    </row>
    <row r="165" spans="1:15" x14ac:dyDescent="0.35">
      <c r="A165" s="10"/>
      <c r="B165" s="10"/>
      <c r="C165" s="43" t="str">
        <f>IF(B165="","",IFERROR(INDEX(Findings_Register!$B$6:$B$205,MATCH(B165,Findings_Register!$A$6:$A$205,0)),""))</f>
        <v/>
      </c>
      <c r="D165" s="44" t="str">
        <f>IF(B165="","",IFERROR(INDEX(Findings_Register!$F$6:$F$205,MATCH(B165,Findings_Register!$A$6:$A$205,0)),""))</f>
        <v/>
      </c>
      <c r="E165" s="10"/>
      <c r="F165" s="10"/>
      <c r="G165" s="10"/>
      <c r="H165" s="14"/>
      <c r="I165" s="14"/>
      <c r="J165" s="10"/>
      <c r="K165" s="49"/>
      <c r="L165" s="44" t="str">
        <f t="shared" ca="1" si="4"/>
        <v/>
      </c>
      <c r="M165" s="44" t="str">
        <f t="shared" ca="1" si="5"/>
        <v/>
      </c>
      <c r="N165" s="10"/>
      <c r="O165" s="10"/>
    </row>
    <row r="166" spans="1:15" x14ac:dyDescent="0.35">
      <c r="A166" s="10"/>
      <c r="B166" s="10"/>
      <c r="C166" s="43" t="str">
        <f>IF(B166="","",IFERROR(INDEX(Findings_Register!$B$6:$B$205,MATCH(B166,Findings_Register!$A$6:$A$205,0)),""))</f>
        <v/>
      </c>
      <c r="D166" s="44" t="str">
        <f>IF(B166="","",IFERROR(INDEX(Findings_Register!$F$6:$F$205,MATCH(B166,Findings_Register!$A$6:$A$205,0)),""))</f>
        <v/>
      </c>
      <c r="E166" s="10"/>
      <c r="F166" s="10"/>
      <c r="G166" s="10"/>
      <c r="H166" s="14"/>
      <c r="I166" s="14"/>
      <c r="J166" s="10"/>
      <c r="K166" s="49"/>
      <c r="L166" s="44" t="str">
        <f t="shared" ca="1" si="4"/>
        <v/>
      </c>
      <c r="M166" s="44" t="str">
        <f t="shared" ca="1" si="5"/>
        <v/>
      </c>
      <c r="N166" s="10"/>
      <c r="O166" s="10"/>
    </row>
    <row r="167" spans="1:15" x14ac:dyDescent="0.35">
      <c r="A167" s="10"/>
      <c r="B167" s="10"/>
      <c r="C167" s="43" t="str">
        <f>IF(B167="","",IFERROR(INDEX(Findings_Register!$B$6:$B$205,MATCH(B167,Findings_Register!$A$6:$A$205,0)),""))</f>
        <v/>
      </c>
      <c r="D167" s="44" t="str">
        <f>IF(B167="","",IFERROR(INDEX(Findings_Register!$F$6:$F$205,MATCH(B167,Findings_Register!$A$6:$A$205,0)),""))</f>
        <v/>
      </c>
      <c r="E167" s="10"/>
      <c r="F167" s="10"/>
      <c r="G167" s="10"/>
      <c r="H167" s="14"/>
      <c r="I167" s="14"/>
      <c r="J167" s="10"/>
      <c r="K167" s="49"/>
      <c r="L167" s="44" t="str">
        <f t="shared" ca="1" si="4"/>
        <v/>
      </c>
      <c r="M167" s="44" t="str">
        <f t="shared" ca="1" si="5"/>
        <v/>
      </c>
      <c r="N167" s="10"/>
      <c r="O167" s="10"/>
    </row>
    <row r="168" spans="1:15" x14ac:dyDescent="0.35">
      <c r="A168" s="10"/>
      <c r="B168" s="10"/>
      <c r="C168" s="43" t="str">
        <f>IF(B168="","",IFERROR(INDEX(Findings_Register!$B$6:$B$205,MATCH(B168,Findings_Register!$A$6:$A$205,0)),""))</f>
        <v/>
      </c>
      <c r="D168" s="44" t="str">
        <f>IF(B168="","",IFERROR(INDEX(Findings_Register!$F$6:$F$205,MATCH(B168,Findings_Register!$A$6:$A$205,0)),""))</f>
        <v/>
      </c>
      <c r="E168" s="10"/>
      <c r="F168" s="10"/>
      <c r="G168" s="10"/>
      <c r="H168" s="14"/>
      <c r="I168" s="14"/>
      <c r="J168" s="10"/>
      <c r="K168" s="49"/>
      <c r="L168" s="44" t="str">
        <f t="shared" ca="1" si="4"/>
        <v/>
      </c>
      <c r="M168" s="44" t="str">
        <f t="shared" ca="1" si="5"/>
        <v/>
      </c>
      <c r="N168" s="10"/>
      <c r="O168" s="10"/>
    </row>
    <row r="169" spans="1:15" x14ac:dyDescent="0.35">
      <c r="A169" s="10"/>
      <c r="B169" s="10"/>
      <c r="C169" s="43" t="str">
        <f>IF(B169="","",IFERROR(INDEX(Findings_Register!$B$6:$B$205,MATCH(B169,Findings_Register!$A$6:$A$205,0)),""))</f>
        <v/>
      </c>
      <c r="D169" s="44" t="str">
        <f>IF(B169="","",IFERROR(INDEX(Findings_Register!$F$6:$F$205,MATCH(B169,Findings_Register!$A$6:$A$205,0)),""))</f>
        <v/>
      </c>
      <c r="E169" s="10"/>
      <c r="F169" s="10"/>
      <c r="G169" s="10"/>
      <c r="H169" s="14"/>
      <c r="I169" s="14"/>
      <c r="J169" s="10"/>
      <c r="K169" s="49"/>
      <c r="L169" s="44" t="str">
        <f t="shared" ca="1" si="4"/>
        <v/>
      </c>
      <c r="M169" s="44" t="str">
        <f t="shared" ca="1" si="5"/>
        <v/>
      </c>
      <c r="N169" s="10"/>
      <c r="O169" s="10"/>
    </row>
    <row r="170" spans="1:15" x14ac:dyDescent="0.35">
      <c r="A170" s="10"/>
      <c r="B170" s="10"/>
      <c r="C170" s="43" t="str">
        <f>IF(B170="","",IFERROR(INDEX(Findings_Register!$B$6:$B$205,MATCH(B170,Findings_Register!$A$6:$A$205,0)),""))</f>
        <v/>
      </c>
      <c r="D170" s="44" t="str">
        <f>IF(B170="","",IFERROR(INDEX(Findings_Register!$F$6:$F$205,MATCH(B170,Findings_Register!$A$6:$A$205,0)),""))</f>
        <v/>
      </c>
      <c r="E170" s="10"/>
      <c r="F170" s="10"/>
      <c r="G170" s="10"/>
      <c r="H170" s="14"/>
      <c r="I170" s="14"/>
      <c r="J170" s="10"/>
      <c r="K170" s="49"/>
      <c r="L170" s="44" t="str">
        <f t="shared" ca="1" si="4"/>
        <v/>
      </c>
      <c r="M170" s="44" t="str">
        <f t="shared" ca="1" si="5"/>
        <v/>
      </c>
      <c r="N170" s="10"/>
      <c r="O170" s="10"/>
    </row>
    <row r="171" spans="1:15" x14ac:dyDescent="0.35">
      <c r="A171" s="10"/>
      <c r="B171" s="10"/>
      <c r="C171" s="43" t="str">
        <f>IF(B171="","",IFERROR(INDEX(Findings_Register!$B$6:$B$205,MATCH(B171,Findings_Register!$A$6:$A$205,0)),""))</f>
        <v/>
      </c>
      <c r="D171" s="44" t="str">
        <f>IF(B171="","",IFERROR(INDEX(Findings_Register!$F$6:$F$205,MATCH(B171,Findings_Register!$A$6:$A$205,0)),""))</f>
        <v/>
      </c>
      <c r="E171" s="10"/>
      <c r="F171" s="10"/>
      <c r="G171" s="10"/>
      <c r="H171" s="14"/>
      <c r="I171" s="14"/>
      <c r="J171" s="10"/>
      <c r="K171" s="49"/>
      <c r="L171" s="44" t="str">
        <f t="shared" ca="1" si="4"/>
        <v/>
      </c>
      <c r="M171" s="44" t="str">
        <f t="shared" ca="1" si="5"/>
        <v/>
      </c>
      <c r="N171" s="10"/>
      <c r="O171" s="10"/>
    </row>
    <row r="172" spans="1:15" x14ac:dyDescent="0.35">
      <c r="A172" s="10"/>
      <c r="B172" s="10"/>
      <c r="C172" s="43" t="str">
        <f>IF(B172="","",IFERROR(INDEX(Findings_Register!$B$6:$B$205,MATCH(B172,Findings_Register!$A$6:$A$205,0)),""))</f>
        <v/>
      </c>
      <c r="D172" s="44" t="str">
        <f>IF(B172="","",IFERROR(INDEX(Findings_Register!$F$6:$F$205,MATCH(B172,Findings_Register!$A$6:$A$205,0)),""))</f>
        <v/>
      </c>
      <c r="E172" s="10"/>
      <c r="F172" s="10"/>
      <c r="G172" s="10"/>
      <c r="H172" s="14"/>
      <c r="I172" s="14"/>
      <c r="J172" s="10"/>
      <c r="K172" s="49"/>
      <c r="L172" s="44" t="str">
        <f t="shared" ca="1" si="4"/>
        <v/>
      </c>
      <c r="M172" s="44" t="str">
        <f t="shared" ca="1" si="5"/>
        <v/>
      </c>
      <c r="N172" s="10"/>
      <c r="O172" s="10"/>
    </row>
    <row r="173" spans="1:15" x14ac:dyDescent="0.35">
      <c r="A173" s="10"/>
      <c r="B173" s="10"/>
      <c r="C173" s="43" t="str">
        <f>IF(B173="","",IFERROR(INDEX(Findings_Register!$B$6:$B$205,MATCH(B173,Findings_Register!$A$6:$A$205,0)),""))</f>
        <v/>
      </c>
      <c r="D173" s="44" t="str">
        <f>IF(B173="","",IFERROR(INDEX(Findings_Register!$F$6:$F$205,MATCH(B173,Findings_Register!$A$6:$A$205,0)),""))</f>
        <v/>
      </c>
      <c r="E173" s="10"/>
      <c r="F173" s="10"/>
      <c r="G173" s="10"/>
      <c r="H173" s="14"/>
      <c r="I173" s="14"/>
      <c r="J173" s="10"/>
      <c r="K173" s="49"/>
      <c r="L173" s="44" t="str">
        <f t="shared" ca="1" si="4"/>
        <v/>
      </c>
      <c r="M173" s="44" t="str">
        <f t="shared" ca="1" si="5"/>
        <v/>
      </c>
      <c r="N173" s="10"/>
      <c r="O173" s="10"/>
    </row>
    <row r="174" spans="1:15" x14ac:dyDescent="0.35">
      <c r="A174" s="10"/>
      <c r="B174" s="10"/>
      <c r="C174" s="43" t="str">
        <f>IF(B174="","",IFERROR(INDEX(Findings_Register!$B$6:$B$205,MATCH(B174,Findings_Register!$A$6:$A$205,0)),""))</f>
        <v/>
      </c>
      <c r="D174" s="44" t="str">
        <f>IF(B174="","",IFERROR(INDEX(Findings_Register!$F$6:$F$205,MATCH(B174,Findings_Register!$A$6:$A$205,0)),""))</f>
        <v/>
      </c>
      <c r="E174" s="10"/>
      <c r="F174" s="10"/>
      <c r="G174" s="10"/>
      <c r="H174" s="14"/>
      <c r="I174" s="14"/>
      <c r="J174" s="10"/>
      <c r="K174" s="49"/>
      <c r="L174" s="44" t="str">
        <f t="shared" ca="1" si="4"/>
        <v/>
      </c>
      <c r="M174" s="44" t="str">
        <f t="shared" ca="1" si="5"/>
        <v/>
      </c>
      <c r="N174" s="10"/>
      <c r="O174" s="10"/>
    </row>
    <row r="175" spans="1:15" x14ac:dyDescent="0.35">
      <c r="A175" s="10"/>
      <c r="B175" s="10"/>
      <c r="C175" s="43" t="str">
        <f>IF(B175="","",IFERROR(INDEX(Findings_Register!$B$6:$B$205,MATCH(B175,Findings_Register!$A$6:$A$205,0)),""))</f>
        <v/>
      </c>
      <c r="D175" s="44" t="str">
        <f>IF(B175="","",IFERROR(INDEX(Findings_Register!$F$6:$F$205,MATCH(B175,Findings_Register!$A$6:$A$205,0)),""))</f>
        <v/>
      </c>
      <c r="E175" s="10"/>
      <c r="F175" s="10"/>
      <c r="G175" s="10"/>
      <c r="H175" s="14"/>
      <c r="I175" s="14"/>
      <c r="J175" s="10"/>
      <c r="K175" s="49"/>
      <c r="L175" s="44" t="str">
        <f t="shared" ca="1" si="4"/>
        <v/>
      </c>
      <c r="M175" s="44" t="str">
        <f t="shared" ca="1" si="5"/>
        <v/>
      </c>
      <c r="N175" s="10"/>
      <c r="O175" s="10"/>
    </row>
    <row r="176" spans="1:15" x14ac:dyDescent="0.35">
      <c r="A176" s="10"/>
      <c r="B176" s="10"/>
      <c r="C176" s="43" t="str">
        <f>IF(B176="","",IFERROR(INDEX(Findings_Register!$B$6:$B$205,MATCH(B176,Findings_Register!$A$6:$A$205,0)),""))</f>
        <v/>
      </c>
      <c r="D176" s="44" t="str">
        <f>IF(B176="","",IFERROR(INDEX(Findings_Register!$F$6:$F$205,MATCH(B176,Findings_Register!$A$6:$A$205,0)),""))</f>
        <v/>
      </c>
      <c r="E176" s="10"/>
      <c r="F176" s="10"/>
      <c r="G176" s="10"/>
      <c r="H176" s="14"/>
      <c r="I176" s="14"/>
      <c r="J176" s="10"/>
      <c r="K176" s="49"/>
      <c r="L176" s="44" t="str">
        <f t="shared" ca="1" si="4"/>
        <v/>
      </c>
      <c r="M176" s="44" t="str">
        <f t="shared" ca="1" si="5"/>
        <v/>
      </c>
      <c r="N176" s="10"/>
      <c r="O176" s="10"/>
    </row>
    <row r="177" spans="1:15" x14ac:dyDescent="0.35">
      <c r="A177" s="10"/>
      <c r="B177" s="10"/>
      <c r="C177" s="43" t="str">
        <f>IF(B177="","",IFERROR(INDEX(Findings_Register!$B$6:$B$205,MATCH(B177,Findings_Register!$A$6:$A$205,0)),""))</f>
        <v/>
      </c>
      <c r="D177" s="44" t="str">
        <f>IF(B177="","",IFERROR(INDEX(Findings_Register!$F$6:$F$205,MATCH(B177,Findings_Register!$A$6:$A$205,0)),""))</f>
        <v/>
      </c>
      <c r="E177" s="10"/>
      <c r="F177" s="10"/>
      <c r="G177" s="10"/>
      <c r="H177" s="14"/>
      <c r="I177" s="14"/>
      <c r="J177" s="10"/>
      <c r="K177" s="49"/>
      <c r="L177" s="44" t="str">
        <f t="shared" ca="1" si="4"/>
        <v/>
      </c>
      <c r="M177" s="44" t="str">
        <f t="shared" ca="1" si="5"/>
        <v/>
      </c>
      <c r="N177" s="10"/>
      <c r="O177" s="10"/>
    </row>
    <row r="178" spans="1:15" x14ac:dyDescent="0.35">
      <c r="A178" s="10"/>
      <c r="B178" s="10"/>
      <c r="C178" s="43" t="str">
        <f>IF(B178="","",IFERROR(INDEX(Findings_Register!$B$6:$B$205,MATCH(B178,Findings_Register!$A$6:$A$205,0)),""))</f>
        <v/>
      </c>
      <c r="D178" s="44" t="str">
        <f>IF(B178="","",IFERROR(INDEX(Findings_Register!$F$6:$F$205,MATCH(B178,Findings_Register!$A$6:$A$205,0)),""))</f>
        <v/>
      </c>
      <c r="E178" s="10"/>
      <c r="F178" s="10"/>
      <c r="G178" s="10"/>
      <c r="H178" s="14"/>
      <c r="I178" s="14"/>
      <c r="J178" s="10"/>
      <c r="K178" s="49"/>
      <c r="L178" s="44" t="str">
        <f t="shared" ca="1" si="4"/>
        <v/>
      </c>
      <c r="M178" s="44" t="str">
        <f t="shared" ca="1" si="5"/>
        <v/>
      </c>
      <c r="N178" s="10"/>
      <c r="O178" s="10"/>
    </row>
    <row r="179" spans="1:15" x14ac:dyDescent="0.35">
      <c r="A179" s="10"/>
      <c r="B179" s="10"/>
      <c r="C179" s="43" t="str">
        <f>IF(B179="","",IFERROR(INDEX(Findings_Register!$B$6:$B$205,MATCH(B179,Findings_Register!$A$6:$A$205,0)),""))</f>
        <v/>
      </c>
      <c r="D179" s="44" t="str">
        <f>IF(B179="","",IFERROR(INDEX(Findings_Register!$F$6:$F$205,MATCH(B179,Findings_Register!$A$6:$A$205,0)),""))</f>
        <v/>
      </c>
      <c r="E179" s="10"/>
      <c r="F179" s="10"/>
      <c r="G179" s="10"/>
      <c r="H179" s="14"/>
      <c r="I179" s="14"/>
      <c r="J179" s="10"/>
      <c r="K179" s="49"/>
      <c r="L179" s="44" t="str">
        <f t="shared" ca="1" si="4"/>
        <v/>
      </c>
      <c r="M179" s="44" t="str">
        <f t="shared" ca="1" si="5"/>
        <v/>
      </c>
      <c r="N179" s="10"/>
      <c r="O179" s="10"/>
    </row>
    <row r="180" spans="1:15" x14ac:dyDescent="0.35">
      <c r="A180" s="10"/>
      <c r="B180" s="10"/>
      <c r="C180" s="43" t="str">
        <f>IF(B180="","",IFERROR(INDEX(Findings_Register!$B$6:$B$205,MATCH(B180,Findings_Register!$A$6:$A$205,0)),""))</f>
        <v/>
      </c>
      <c r="D180" s="44" t="str">
        <f>IF(B180="","",IFERROR(INDEX(Findings_Register!$F$6:$F$205,MATCH(B180,Findings_Register!$A$6:$A$205,0)),""))</f>
        <v/>
      </c>
      <c r="E180" s="10"/>
      <c r="F180" s="10"/>
      <c r="G180" s="10"/>
      <c r="H180" s="14"/>
      <c r="I180" s="14"/>
      <c r="J180" s="10"/>
      <c r="K180" s="49"/>
      <c r="L180" s="44" t="str">
        <f t="shared" ca="1" si="4"/>
        <v/>
      </c>
      <c r="M180" s="44" t="str">
        <f t="shared" ca="1" si="5"/>
        <v/>
      </c>
      <c r="N180" s="10"/>
      <c r="O180" s="10"/>
    </row>
    <row r="181" spans="1:15" x14ac:dyDescent="0.35">
      <c r="A181" s="10"/>
      <c r="B181" s="10"/>
      <c r="C181" s="43" t="str">
        <f>IF(B181="","",IFERROR(INDEX(Findings_Register!$B$6:$B$205,MATCH(B181,Findings_Register!$A$6:$A$205,0)),""))</f>
        <v/>
      </c>
      <c r="D181" s="44" t="str">
        <f>IF(B181="","",IFERROR(INDEX(Findings_Register!$F$6:$F$205,MATCH(B181,Findings_Register!$A$6:$A$205,0)),""))</f>
        <v/>
      </c>
      <c r="E181" s="10"/>
      <c r="F181" s="10"/>
      <c r="G181" s="10"/>
      <c r="H181" s="14"/>
      <c r="I181" s="14"/>
      <c r="J181" s="10"/>
      <c r="K181" s="49"/>
      <c r="L181" s="44" t="str">
        <f t="shared" ca="1" si="4"/>
        <v/>
      </c>
      <c r="M181" s="44" t="str">
        <f t="shared" ca="1" si="5"/>
        <v/>
      </c>
      <c r="N181" s="10"/>
      <c r="O181" s="10"/>
    </row>
    <row r="182" spans="1:15" x14ac:dyDescent="0.35">
      <c r="A182" s="10"/>
      <c r="B182" s="10"/>
      <c r="C182" s="43" t="str">
        <f>IF(B182="","",IFERROR(INDEX(Findings_Register!$B$6:$B$205,MATCH(B182,Findings_Register!$A$6:$A$205,0)),""))</f>
        <v/>
      </c>
      <c r="D182" s="44" t="str">
        <f>IF(B182="","",IFERROR(INDEX(Findings_Register!$F$6:$F$205,MATCH(B182,Findings_Register!$A$6:$A$205,0)),""))</f>
        <v/>
      </c>
      <c r="E182" s="10"/>
      <c r="F182" s="10"/>
      <c r="G182" s="10"/>
      <c r="H182" s="14"/>
      <c r="I182" s="14"/>
      <c r="J182" s="10"/>
      <c r="K182" s="49"/>
      <c r="L182" s="44" t="str">
        <f t="shared" ca="1" si="4"/>
        <v/>
      </c>
      <c r="M182" s="44" t="str">
        <f t="shared" ca="1" si="5"/>
        <v/>
      </c>
      <c r="N182" s="10"/>
      <c r="O182" s="10"/>
    </row>
    <row r="183" spans="1:15" x14ac:dyDescent="0.35">
      <c r="A183" s="10"/>
      <c r="B183" s="10"/>
      <c r="C183" s="43" t="str">
        <f>IF(B183="","",IFERROR(INDEX(Findings_Register!$B$6:$B$205,MATCH(B183,Findings_Register!$A$6:$A$205,0)),""))</f>
        <v/>
      </c>
      <c r="D183" s="44" t="str">
        <f>IF(B183="","",IFERROR(INDEX(Findings_Register!$F$6:$F$205,MATCH(B183,Findings_Register!$A$6:$A$205,0)),""))</f>
        <v/>
      </c>
      <c r="E183" s="10"/>
      <c r="F183" s="10"/>
      <c r="G183" s="10"/>
      <c r="H183" s="14"/>
      <c r="I183" s="14"/>
      <c r="J183" s="10"/>
      <c r="K183" s="49"/>
      <c r="L183" s="44" t="str">
        <f t="shared" ca="1" si="4"/>
        <v/>
      </c>
      <c r="M183" s="44" t="str">
        <f t="shared" ca="1" si="5"/>
        <v/>
      </c>
      <c r="N183" s="10"/>
      <c r="O183" s="10"/>
    </row>
    <row r="184" spans="1:15" x14ac:dyDescent="0.35">
      <c r="A184" s="10"/>
      <c r="B184" s="10"/>
      <c r="C184" s="43" t="str">
        <f>IF(B184="","",IFERROR(INDEX(Findings_Register!$B$6:$B$205,MATCH(B184,Findings_Register!$A$6:$A$205,0)),""))</f>
        <v/>
      </c>
      <c r="D184" s="44" t="str">
        <f>IF(B184="","",IFERROR(INDEX(Findings_Register!$F$6:$F$205,MATCH(B184,Findings_Register!$A$6:$A$205,0)),""))</f>
        <v/>
      </c>
      <c r="E184" s="10"/>
      <c r="F184" s="10"/>
      <c r="G184" s="10"/>
      <c r="H184" s="14"/>
      <c r="I184" s="14"/>
      <c r="J184" s="10"/>
      <c r="K184" s="49"/>
      <c r="L184" s="44" t="str">
        <f t="shared" ca="1" si="4"/>
        <v/>
      </c>
      <c r="M184" s="44" t="str">
        <f t="shared" ca="1" si="5"/>
        <v/>
      </c>
      <c r="N184" s="10"/>
      <c r="O184" s="10"/>
    </row>
    <row r="185" spans="1:15" x14ac:dyDescent="0.35">
      <c r="A185" s="10"/>
      <c r="B185" s="10"/>
      <c r="C185" s="43" t="str">
        <f>IF(B185="","",IFERROR(INDEX(Findings_Register!$B$6:$B$205,MATCH(B185,Findings_Register!$A$6:$A$205,0)),""))</f>
        <v/>
      </c>
      <c r="D185" s="44" t="str">
        <f>IF(B185="","",IFERROR(INDEX(Findings_Register!$F$6:$F$205,MATCH(B185,Findings_Register!$A$6:$A$205,0)),""))</f>
        <v/>
      </c>
      <c r="E185" s="10"/>
      <c r="F185" s="10"/>
      <c r="G185" s="10"/>
      <c r="H185" s="14"/>
      <c r="I185" s="14"/>
      <c r="J185" s="10"/>
      <c r="K185" s="49"/>
      <c r="L185" s="44" t="str">
        <f t="shared" ca="1" si="4"/>
        <v/>
      </c>
      <c r="M185" s="44" t="str">
        <f t="shared" ca="1" si="5"/>
        <v/>
      </c>
      <c r="N185" s="10"/>
      <c r="O185" s="10"/>
    </row>
    <row r="186" spans="1:15" x14ac:dyDescent="0.35">
      <c r="A186" s="10"/>
      <c r="B186" s="10"/>
      <c r="C186" s="43" t="str">
        <f>IF(B186="","",IFERROR(INDEX(Findings_Register!$B$6:$B$205,MATCH(B186,Findings_Register!$A$6:$A$205,0)),""))</f>
        <v/>
      </c>
      <c r="D186" s="44" t="str">
        <f>IF(B186="","",IFERROR(INDEX(Findings_Register!$F$6:$F$205,MATCH(B186,Findings_Register!$A$6:$A$205,0)),""))</f>
        <v/>
      </c>
      <c r="E186" s="10"/>
      <c r="F186" s="10"/>
      <c r="G186" s="10"/>
      <c r="H186" s="14"/>
      <c r="I186" s="14"/>
      <c r="J186" s="10"/>
      <c r="K186" s="49"/>
      <c r="L186" s="44" t="str">
        <f t="shared" ca="1" si="4"/>
        <v/>
      </c>
      <c r="M186" s="44" t="str">
        <f t="shared" ca="1" si="5"/>
        <v/>
      </c>
      <c r="N186" s="10"/>
      <c r="O186" s="10"/>
    </row>
    <row r="187" spans="1:15" x14ac:dyDescent="0.35">
      <c r="A187" s="10"/>
      <c r="B187" s="10"/>
      <c r="C187" s="43" t="str">
        <f>IF(B187="","",IFERROR(INDEX(Findings_Register!$B$6:$B$205,MATCH(B187,Findings_Register!$A$6:$A$205,0)),""))</f>
        <v/>
      </c>
      <c r="D187" s="44" t="str">
        <f>IF(B187="","",IFERROR(INDEX(Findings_Register!$F$6:$F$205,MATCH(B187,Findings_Register!$A$6:$A$205,0)),""))</f>
        <v/>
      </c>
      <c r="E187" s="10"/>
      <c r="F187" s="10"/>
      <c r="G187" s="10"/>
      <c r="H187" s="14"/>
      <c r="I187" s="14"/>
      <c r="J187" s="10"/>
      <c r="K187" s="49"/>
      <c r="L187" s="44" t="str">
        <f t="shared" ca="1" si="4"/>
        <v/>
      </c>
      <c r="M187" s="44" t="str">
        <f t="shared" ca="1" si="5"/>
        <v/>
      </c>
      <c r="N187" s="10"/>
      <c r="O187" s="10"/>
    </row>
    <row r="188" spans="1:15" x14ac:dyDescent="0.35">
      <c r="A188" s="10"/>
      <c r="B188" s="10"/>
      <c r="C188" s="43" t="str">
        <f>IF(B188="","",IFERROR(INDEX(Findings_Register!$B$6:$B$205,MATCH(B188,Findings_Register!$A$6:$A$205,0)),""))</f>
        <v/>
      </c>
      <c r="D188" s="44" t="str">
        <f>IF(B188="","",IFERROR(INDEX(Findings_Register!$F$6:$F$205,MATCH(B188,Findings_Register!$A$6:$A$205,0)),""))</f>
        <v/>
      </c>
      <c r="E188" s="10"/>
      <c r="F188" s="10"/>
      <c r="G188" s="10"/>
      <c r="H188" s="14"/>
      <c r="I188" s="14"/>
      <c r="J188" s="10"/>
      <c r="K188" s="49"/>
      <c r="L188" s="44" t="str">
        <f t="shared" ca="1" si="4"/>
        <v/>
      </c>
      <c r="M188" s="44" t="str">
        <f t="shared" ca="1" si="5"/>
        <v/>
      </c>
      <c r="N188" s="10"/>
      <c r="O188" s="10"/>
    </row>
    <row r="189" spans="1:15" x14ac:dyDescent="0.35">
      <c r="A189" s="10"/>
      <c r="B189" s="10"/>
      <c r="C189" s="43" t="str">
        <f>IF(B189="","",IFERROR(INDEX(Findings_Register!$B$6:$B$205,MATCH(B189,Findings_Register!$A$6:$A$205,0)),""))</f>
        <v/>
      </c>
      <c r="D189" s="44" t="str">
        <f>IF(B189="","",IFERROR(INDEX(Findings_Register!$F$6:$F$205,MATCH(B189,Findings_Register!$A$6:$A$205,0)),""))</f>
        <v/>
      </c>
      <c r="E189" s="10"/>
      <c r="F189" s="10"/>
      <c r="G189" s="10"/>
      <c r="H189" s="14"/>
      <c r="I189" s="14"/>
      <c r="J189" s="10"/>
      <c r="K189" s="49"/>
      <c r="L189" s="44" t="str">
        <f t="shared" ca="1" si="4"/>
        <v/>
      </c>
      <c r="M189" s="44" t="str">
        <f t="shared" ca="1" si="5"/>
        <v/>
      </c>
      <c r="N189" s="10"/>
      <c r="O189" s="10"/>
    </row>
    <row r="190" spans="1:15" x14ac:dyDescent="0.35">
      <c r="A190" s="10"/>
      <c r="B190" s="10"/>
      <c r="C190" s="43" t="str">
        <f>IF(B190="","",IFERROR(INDEX(Findings_Register!$B$6:$B$205,MATCH(B190,Findings_Register!$A$6:$A$205,0)),""))</f>
        <v/>
      </c>
      <c r="D190" s="44" t="str">
        <f>IF(B190="","",IFERROR(INDEX(Findings_Register!$F$6:$F$205,MATCH(B190,Findings_Register!$A$6:$A$205,0)),""))</f>
        <v/>
      </c>
      <c r="E190" s="10"/>
      <c r="F190" s="10"/>
      <c r="G190" s="10"/>
      <c r="H190" s="14"/>
      <c r="I190" s="14"/>
      <c r="J190" s="10"/>
      <c r="K190" s="49"/>
      <c r="L190" s="44" t="str">
        <f t="shared" ca="1" si="4"/>
        <v/>
      </c>
      <c r="M190" s="44" t="str">
        <f t="shared" ca="1" si="5"/>
        <v/>
      </c>
      <c r="N190" s="10"/>
      <c r="O190" s="10"/>
    </row>
    <row r="191" spans="1:15" x14ac:dyDescent="0.35">
      <c r="A191" s="10"/>
      <c r="B191" s="10"/>
      <c r="C191" s="43" t="str">
        <f>IF(B191="","",IFERROR(INDEX(Findings_Register!$B$6:$B$205,MATCH(B191,Findings_Register!$A$6:$A$205,0)),""))</f>
        <v/>
      </c>
      <c r="D191" s="44" t="str">
        <f>IF(B191="","",IFERROR(INDEX(Findings_Register!$F$6:$F$205,MATCH(B191,Findings_Register!$A$6:$A$205,0)),""))</f>
        <v/>
      </c>
      <c r="E191" s="10"/>
      <c r="F191" s="10"/>
      <c r="G191" s="10"/>
      <c r="H191" s="14"/>
      <c r="I191" s="14"/>
      <c r="J191" s="10"/>
      <c r="K191" s="49"/>
      <c r="L191" s="44" t="str">
        <f t="shared" ca="1" si="4"/>
        <v/>
      </c>
      <c r="M191" s="44" t="str">
        <f t="shared" ca="1" si="5"/>
        <v/>
      </c>
      <c r="N191" s="10"/>
      <c r="O191" s="10"/>
    </row>
    <row r="192" spans="1:15" x14ac:dyDescent="0.35">
      <c r="A192" s="10"/>
      <c r="B192" s="10"/>
      <c r="C192" s="43" t="str">
        <f>IF(B192="","",IFERROR(INDEX(Findings_Register!$B$6:$B$205,MATCH(B192,Findings_Register!$A$6:$A$205,0)),""))</f>
        <v/>
      </c>
      <c r="D192" s="44" t="str">
        <f>IF(B192="","",IFERROR(INDEX(Findings_Register!$F$6:$F$205,MATCH(B192,Findings_Register!$A$6:$A$205,0)),""))</f>
        <v/>
      </c>
      <c r="E192" s="10"/>
      <c r="F192" s="10"/>
      <c r="G192" s="10"/>
      <c r="H192" s="14"/>
      <c r="I192" s="14"/>
      <c r="J192" s="10"/>
      <c r="K192" s="49"/>
      <c r="L192" s="44" t="str">
        <f t="shared" ca="1" si="4"/>
        <v/>
      </c>
      <c r="M192" s="44" t="str">
        <f t="shared" ca="1" si="5"/>
        <v/>
      </c>
      <c r="N192" s="10"/>
      <c r="O192" s="10"/>
    </row>
    <row r="193" spans="1:15" x14ac:dyDescent="0.35">
      <c r="A193" s="10"/>
      <c r="B193" s="10"/>
      <c r="C193" s="43" t="str">
        <f>IF(B193="","",IFERROR(INDEX(Findings_Register!$B$6:$B$205,MATCH(B193,Findings_Register!$A$6:$A$205,0)),""))</f>
        <v/>
      </c>
      <c r="D193" s="44" t="str">
        <f>IF(B193="","",IFERROR(INDEX(Findings_Register!$F$6:$F$205,MATCH(B193,Findings_Register!$A$6:$A$205,0)),""))</f>
        <v/>
      </c>
      <c r="E193" s="10"/>
      <c r="F193" s="10"/>
      <c r="G193" s="10"/>
      <c r="H193" s="14"/>
      <c r="I193" s="14"/>
      <c r="J193" s="10"/>
      <c r="K193" s="49"/>
      <c r="L193" s="44" t="str">
        <f t="shared" ca="1" si="4"/>
        <v/>
      </c>
      <c r="M193" s="44" t="str">
        <f t="shared" ca="1" si="5"/>
        <v/>
      </c>
      <c r="N193" s="10"/>
      <c r="O193" s="10"/>
    </row>
    <row r="194" spans="1:15" x14ac:dyDescent="0.35">
      <c r="A194" s="10"/>
      <c r="B194" s="10"/>
      <c r="C194" s="43" t="str">
        <f>IF(B194="","",IFERROR(INDEX(Findings_Register!$B$6:$B$205,MATCH(B194,Findings_Register!$A$6:$A$205,0)),""))</f>
        <v/>
      </c>
      <c r="D194" s="44" t="str">
        <f>IF(B194="","",IFERROR(INDEX(Findings_Register!$F$6:$F$205,MATCH(B194,Findings_Register!$A$6:$A$205,0)),""))</f>
        <v/>
      </c>
      <c r="E194" s="10"/>
      <c r="F194" s="10"/>
      <c r="G194" s="10"/>
      <c r="H194" s="14"/>
      <c r="I194" s="14"/>
      <c r="J194" s="10"/>
      <c r="K194" s="49"/>
      <c r="L194" s="44" t="str">
        <f t="shared" ca="1" si="4"/>
        <v/>
      </c>
      <c r="M194" s="44" t="str">
        <f t="shared" ca="1" si="5"/>
        <v/>
      </c>
      <c r="N194" s="10"/>
      <c r="O194" s="10"/>
    </row>
    <row r="195" spans="1:15" x14ac:dyDescent="0.35">
      <c r="A195" s="10"/>
      <c r="B195" s="10"/>
      <c r="C195" s="43" t="str">
        <f>IF(B195="","",IFERROR(INDEX(Findings_Register!$B$6:$B$205,MATCH(B195,Findings_Register!$A$6:$A$205,0)),""))</f>
        <v/>
      </c>
      <c r="D195" s="44" t="str">
        <f>IF(B195="","",IFERROR(INDEX(Findings_Register!$F$6:$F$205,MATCH(B195,Findings_Register!$A$6:$A$205,0)),""))</f>
        <v/>
      </c>
      <c r="E195" s="10"/>
      <c r="F195" s="10"/>
      <c r="G195" s="10"/>
      <c r="H195" s="14"/>
      <c r="I195" s="14"/>
      <c r="J195" s="10"/>
      <c r="K195" s="49"/>
      <c r="L195" s="44" t="str">
        <f t="shared" ca="1" si="4"/>
        <v/>
      </c>
      <c r="M195" s="44" t="str">
        <f t="shared" ca="1" si="5"/>
        <v/>
      </c>
      <c r="N195" s="10"/>
      <c r="O195" s="10"/>
    </row>
    <row r="196" spans="1:15" x14ac:dyDescent="0.35">
      <c r="A196" s="10"/>
      <c r="B196" s="10"/>
      <c r="C196" s="43" t="str">
        <f>IF(B196="","",IFERROR(INDEX(Findings_Register!$B$6:$B$205,MATCH(B196,Findings_Register!$A$6:$A$205,0)),""))</f>
        <v/>
      </c>
      <c r="D196" s="44" t="str">
        <f>IF(B196="","",IFERROR(INDEX(Findings_Register!$F$6:$F$205,MATCH(B196,Findings_Register!$A$6:$A$205,0)),""))</f>
        <v/>
      </c>
      <c r="E196" s="10"/>
      <c r="F196" s="10"/>
      <c r="G196" s="10"/>
      <c r="H196" s="14"/>
      <c r="I196" s="14"/>
      <c r="J196" s="10"/>
      <c r="K196" s="49"/>
      <c r="L196" s="44" t="str">
        <f t="shared" ca="1" si="4"/>
        <v/>
      </c>
      <c r="M196" s="44" t="str">
        <f t="shared" ca="1" si="5"/>
        <v/>
      </c>
      <c r="N196" s="10"/>
      <c r="O196" s="10"/>
    </row>
    <row r="197" spans="1:15" x14ac:dyDescent="0.35">
      <c r="A197" s="10"/>
      <c r="B197" s="10"/>
      <c r="C197" s="43" t="str">
        <f>IF(B197="","",IFERROR(INDEX(Findings_Register!$B$6:$B$205,MATCH(B197,Findings_Register!$A$6:$A$205,0)),""))</f>
        <v/>
      </c>
      <c r="D197" s="44" t="str">
        <f>IF(B197="","",IFERROR(INDEX(Findings_Register!$F$6:$F$205,MATCH(B197,Findings_Register!$A$6:$A$205,0)),""))</f>
        <v/>
      </c>
      <c r="E197" s="10"/>
      <c r="F197" s="10"/>
      <c r="G197" s="10"/>
      <c r="H197" s="14"/>
      <c r="I197" s="14"/>
      <c r="J197" s="10"/>
      <c r="K197" s="49"/>
      <c r="L197" s="44" t="str">
        <f t="shared" ref="L197:L205" ca="1" si="6">IF(OR(I197="",J197="Completed",J197="Verified"),"",I197-TODAY())</f>
        <v/>
      </c>
      <c r="M197" s="44" t="str">
        <f t="shared" ref="M197:M205" ca="1" si="7">IF(OR(J197="Completed",J197="Verified"),"Done",IF(I197="","",IF(TODAY()&gt;I197,"Overdue",IF(I197-TODAY()&lt;=14,"Due within 14d","On track"))))</f>
        <v/>
      </c>
      <c r="N197" s="10"/>
      <c r="O197" s="10"/>
    </row>
    <row r="198" spans="1:15" x14ac:dyDescent="0.35">
      <c r="A198" s="10"/>
      <c r="B198" s="10"/>
      <c r="C198" s="43" t="str">
        <f>IF(B198="","",IFERROR(INDEX(Findings_Register!$B$6:$B$205,MATCH(B198,Findings_Register!$A$6:$A$205,0)),""))</f>
        <v/>
      </c>
      <c r="D198" s="44" t="str">
        <f>IF(B198="","",IFERROR(INDEX(Findings_Register!$F$6:$F$205,MATCH(B198,Findings_Register!$A$6:$A$205,0)),""))</f>
        <v/>
      </c>
      <c r="E198" s="10"/>
      <c r="F198" s="10"/>
      <c r="G198" s="10"/>
      <c r="H198" s="14"/>
      <c r="I198" s="14"/>
      <c r="J198" s="10"/>
      <c r="K198" s="49"/>
      <c r="L198" s="44" t="str">
        <f t="shared" ca="1" si="6"/>
        <v/>
      </c>
      <c r="M198" s="44" t="str">
        <f t="shared" ca="1" si="7"/>
        <v/>
      </c>
      <c r="N198" s="10"/>
      <c r="O198" s="10"/>
    </row>
    <row r="199" spans="1:15" x14ac:dyDescent="0.35">
      <c r="A199" s="10"/>
      <c r="B199" s="10"/>
      <c r="C199" s="43" t="str">
        <f>IF(B199="","",IFERROR(INDEX(Findings_Register!$B$6:$B$205,MATCH(B199,Findings_Register!$A$6:$A$205,0)),""))</f>
        <v/>
      </c>
      <c r="D199" s="44" t="str">
        <f>IF(B199="","",IFERROR(INDEX(Findings_Register!$F$6:$F$205,MATCH(B199,Findings_Register!$A$6:$A$205,0)),""))</f>
        <v/>
      </c>
      <c r="E199" s="10"/>
      <c r="F199" s="10"/>
      <c r="G199" s="10"/>
      <c r="H199" s="14"/>
      <c r="I199" s="14"/>
      <c r="J199" s="10"/>
      <c r="K199" s="49"/>
      <c r="L199" s="44" t="str">
        <f t="shared" ca="1" si="6"/>
        <v/>
      </c>
      <c r="M199" s="44" t="str">
        <f t="shared" ca="1" si="7"/>
        <v/>
      </c>
      <c r="N199" s="10"/>
      <c r="O199" s="10"/>
    </row>
    <row r="200" spans="1:15" x14ac:dyDescent="0.35">
      <c r="A200" s="10"/>
      <c r="B200" s="10"/>
      <c r="C200" s="43" t="str">
        <f>IF(B200="","",IFERROR(INDEX(Findings_Register!$B$6:$B$205,MATCH(B200,Findings_Register!$A$6:$A$205,0)),""))</f>
        <v/>
      </c>
      <c r="D200" s="44" t="str">
        <f>IF(B200="","",IFERROR(INDEX(Findings_Register!$F$6:$F$205,MATCH(B200,Findings_Register!$A$6:$A$205,0)),""))</f>
        <v/>
      </c>
      <c r="E200" s="10"/>
      <c r="F200" s="10"/>
      <c r="G200" s="10"/>
      <c r="H200" s="14"/>
      <c r="I200" s="14"/>
      <c r="J200" s="10"/>
      <c r="K200" s="49"/>
      <c r="L200" s="44" t="str">
        <f t="shared" ca="1" si="6"/>
        <v/>
      </c>
      <c r="M200" s="44" t="str">
        <f t="shared" ca="1" si="7"/>
        <v/>
      </c>
      <c r="N200" s="10"/>
      <c r="O200" s="10"/>
    </row>
    <row r="201" spans="1:15" x14ac:dyDescent="0.35">
      <c r="A201" s="10"/>
      <c r="B201" s="10"/>
      <c r="C201" s="43" t="str">
        <f>IF(B201="","",IFERROR(INDEX(Findings_Register!$B$6:$B$205,MATCH(B201,Findings_Register!$A$6:$A$205,0)),""))</f>
        <v/>
      </c>
      <c r="D201" s="44" t="str">
        <f>IF(B201="","",IFERROR(INDEX(Findings_Register!$F$6:$F$205,MATCH(B201,Findings_Register!$A$6:$A$205,0)),""))</f>
        <v/>
      </c>
      <c r="E201" s="10"/>
      <c r="F201" s="10"/>
      <c r="G201" s="10"/>
      <c r="H201" s="14"/>
      <c r="I201" s="14"/>
      <c r="J201" s="10"/>
      <c r="K201" s="49"/>
      <c r="L201" s="44" t="str">
        <f t="shared" ca="1" si="6"/>
        <v/>
      </c>
      <c r="M201" s="44" t="str">
        <f t="shared" ca="1" si="7"/>
        <v/>
      </c>
      <c r="N201" s="10"/>
      <c r="O201" s="10"/>
    </row>
    <row r="202" spans="1:15" x14ac:dyDescent="0.35">
      <c r="A202" s="10"/>
      <c r="B202" s="10"/>
      <c r="C202" s="43" t="str">
        <f>IF(B202="","",IFERROR(INDEX(Findings_Register!$B$6:$B$205,MATCH(B202,Findings_Register!$A$6:$A$205,0)),""))</f>
        <v/>
      </c>
      <c r="D202" s="44" t="str">
        <f>IF(B202="","",IFERROR(INDEX(Findings_Register!$F$6:$F$205,MATCH(B202,Findings_Register!$A$6:$A$205,0)),""))</f>
        <v/>
      </c>
      <c r="E202" s="10"/>
      <c r="F202" s="10"/>
      <c r="G202" s="10"/>
      <c r="H202" s="14"/>
      <c r="I202" s="14"/>
      <c r="J202" s="10"/>
      <c r="K202" s="49"/>
      <c r="L202" s="44" t="str">
        <f t="shared" ca="1" si="6"/>
        <v/>
      </c>
      <c r="M202" s="44" t="str">
        <f t="shared" ca="1" si="7"/>
        <v/>
      </c>
      <c r="N202" s="10"/>
      <c r="O202" s="10"/>
    </row>
    <row r="203" spans="1:15" x14ac:dyDescent="0.35">
      <c r="A203" s="10"/>
      <c r="B203" s="10"/>
      <c r="C203" s="43" t="str">
        <f>IF(B203="","",IFERROR(INDEX(Findings_Register!$B$6:$B$205,MATCH(B203,Findings_Register!$A$6:$A$205,0)),""))</f>
        <v/>
      </c>
      <c r="D203" s="44" t="str">
        <f>IF(B203="","",IFERROR(INDEX(Findings_Register!$F$6:$F$205,MATCH(B203,Findings_Register!$A$6:$A$205,0)),""))</f>
        <v/>
      </c>
      <c r="E203" s="10"/>
      <c r="F203" s="10"/>
      <c r="G203" s="10"/>
      <c r="H203" s="14"/>
      <c r="I203" s="14"/>
      <c r="J203" s="10"/>
      <c r="K203" s="49"/>
      <c r="L203" s="44" t="str">
        <f t="shared" ca="1" si="6"/>
        <v/>
      </c>
      <c r="M203" s="44" t="str">
        <f t="shared" ca="1" si="7"/>
        <v/>
      </c>
      <c r="N203" s="10"/>
      <c r="O203" s="10"/>
    </row>
    <row r="204" spans="1:15" x14ac:dyDescent="0.35">
      <c r="A204" s="10"/>
      <c r="B204" s="10"/>
      <c r="C204" s="43" t="str">
        <f>IF(B204="","",IFERROR(INDEX(Findings_Register!$B$6:$B$205,MATCH(B204,Findings_Register!$A$6:$A$205,0)),""))</f>
        <v/>
      </c>
      <c r="D204" s="44" t="str">
        <f>IF(B204="","",IFERROR(INDEX(Findings_Register!$F$6:$F$205,MATCH(B204,Findings_Register!$A$6:$A$205,0)),""))</f>
        <v/>
      </c>
      <c r="E204" s="10"/>
      <c r="F204" s="10"/>
      <c r="G204" s="10"/>
      <c r="H204" s="14"/>
      <c r="I204" s="14"/>
      <c r="J204" s="10"/>
      <c r="K204" s="49"/>
      <c r="L204" s="44" t="str">
        <f t="shared" ca="1" si="6"/>
        <v/>
      </c>
      <c r="M204" s="44" t="str">
        <f t="shared" ca="1" si="7"/>
        <v/>
      </c>
      <c r="N204" s="10"/>
      <c r="O204" s="10"/>
    </row>
    <row r="205" spans="1:15" x14ac:dyDescent="0.35">
      <c r="A205" s="10"/>
      <c r="B205" s="10"/>
      <c r="C205" s="43" t="str">
        <f>IF(B205="","",IFERROR(INDEX(Findings_Register!$B$6:$B$205,MATCH(B205,Findings_Register!$A$6:$A$205,0)),""))</f>
        <v/>
      </c>
      <c r="D205" s="44" t="str">
        <f>IF(B205="","",IFERROR(INDEX(Findings_Register!$F$6:$F$205,MATCH(B205,Findings_Register!$A$6:$A$205,0)),""))</f>
        <v/>
      </c>
      <c r="E205" s="10"/>
      <c r="F205" s="10"/>
      <c r="G205" s="10"/>
      <c r="H205" s="14"/>
      <c r="I205" s="14"/>
      <c r="J205" s="10"/>
      <c r="K205" s="49"/>
      <c r="L205" s="44" t="str">
        <f t="shared" ca="1" si="6"/>
        <v/>
      </c>
      <c r="M205" s="44" t="str">
        <f t="shared" ca="1" si="7"/>
        <v/>
      </c>
      <c r="N205" s="10"/>
      <c r="O205" s="10"/>
    </row>
  </sheetData>
  <autoFilter ref="A4:O205" xr:uid="{00000000-0009-0000-0000-000008000000}"/>
  <conditionalFormatting sqref="D6:D205">
    <cfRule type="cellIs" dxfId="14" priority="2" operator="equal">
      <formula>"Low"</formula>
    </cfRule>
    <cfRule type="cellIs" dxfId="13" priority="3" operator="equal">
      <formula>"Medium"</formula>
    </cfRule>
    <cfRule type="cellIs" dxfId="12" priority="4" operator="equal">
      <formula>"High"</formula>
    </cfRule>
    <cfRule type="cellIs" dxfId="11" priority="5" operator="equal">
      <formula>"Critical"</formula>
    </cfRule>
  </conditionalFormatting>
  <conditionalFormatting sqref="M6:M205">
    <cfRule type="cellIs" dxfId="10" priority="6" operator="equal">
      <formula>"Overdue"</formula>
    </cfRule>
    <cfRule type="cellIs" dxfId="9" priority="7" operator="equal">
      <formula>"Done"</formula>
    </cfRule>
    <cfRule type="cellIs" dxfId="8" priority="8" operator="equal">
      <formula>"Due within 14d"</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2">
        <x14:dataValidation type="list" allowBlank="1" showErrorMessage="1" error="Choose a value from the list" xr:uid="{00000000-0002-0000-0800-000000000000}">
          <x14:formula1>
            <xm:f>Lists!$D$4:$D$7</xm:f>
          </x14:formula1>
          <x14:formula2>
            <xm:f>0</xm:f>
          </x14:formula2>
          <xm:sqref>G6:G205</xm:sqref>
        </x14:dataValidation>
        <x14:dataValidation type="list" allowBlank="1" showErrorMessage="1" error="Choose a value from the list" xr:uid="{00000000-0002-0000-0800-000001000000}">
          <x14:formula1>
            <xm:f>Lists!$C$4:$C$9</xm:f>
          </x14:formula1>
          <x14:formula2>
            <xm:f>0</xm:f>
          </x14:formula2>
          <xm:sqref>J6:J205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Q25"/>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8" customWidth="1"/>
    <col min="2" max="3" width="30" customWidth="1"/>
    <col min="4" max="4" width="18" customWidth="1"/>
    <col min="5" max="5" width="14" customWidth="1"/>
    <col min="6" max="8" width="8" customWidth="1"/>
    <col min="9" max="11" width="10" customWidth="1"/>
    <col min="12" max="13" width="30" customWidth="1"/>
    <col min="14" max="14" width="22" customWidth="1"/>
    <col min="15" max="15" width="12" customWidth="1"/>
    <col min="16" max="16" width="28" customWidth="1"/>
    <col min="17" max="17" width="30" customWidth="1"/>
  </cols>
  <sheetData>
    <row r="1" spans="1:17" ht="20" x14ac:dyDescent="0.4">
      <c r="A1" s="8" t="s">
        <v>949</v>
      </c>
    </row>
    <row r="2" spans="1:17" x14ac:dyDescent="0.35">
      <c r="A2" s="6" t="s">
        <v>950</v>
      </c>
    </row>
    <row r="4" spans="1:17" ht="39.75" customHeight="1" x14ac:dyDescent="0.35">
      <c r="A4" s="11" t="s">
        <v>951</v>
      </c>
      <c r="B4" s="11" t="s">
        <v>952</v>
      </c>
      <c r="C4" s="11" t="s">
        <v>953</v>
      </c>
      <c r="D4" s="11" t="s">
        <v>954</v>
      </c>
      <c r="E4" s="11" t="s">
        <v>955</v>
      </c>
      <c r="F4" s="11" t="s">
        <v>956</v>
      </c>
      <c r="G4" s="11" t="s">
        <v>957</v>
      </c>
      <c r="H4" s="11" t="s">
        <v>958</v>
      </c>
      <c r="I4" s="11" t="s">
        <v>959</v>
      </c>
      <c r="J4" s="11" t="s">
        <v>960</v>
      </c>
      <c r="K4" s="11" t="s">
        <v>961</v>
      </c>
      <c r="L4" s="11" t="s">
        <v>962</v>
      </c>
      <c r="M4" s="11" t="s">
        <v>963</v>
      </c>
      <c r="N4" s="11" t="s">
        <v>964</v>
      </c>
      <c r="O4" s="11" t="s">
        <v>965</v>
      </c>
      <c r="P4" s="11" t="s">
        <v>966</v>
      </c>
      <c r="Q4" s="11" t="s">
        <v>52</v>
      </c>
    </row>
    <row r="5" spans="1:17" ht="26" x14ac:dyDescent="0.35">
      <c r="A5" s="22" t="s">
        <v>895</v>
      </c>
      <c r="B5" s="22" t="s">
        <v>967</v>
      </c>
      <c r="C5" s="22" t="s">
        <v>968</v>
      </c>
      <c r="D5" s="22" t="s">
        <v>969</v>
      </c>
      <c r="E5" s="22" t="s">
        <v>970</v>
      </c>
      <c r="F5" s="22">
        <v>5</v>
      </c>
      <c r="G5" s="22">
        <v>5</v>
      </c>
      <c r="H5" s="22">
        <v>5</v>
      </c>
      <c r="I5" s="22">
        <f>MAX(F5:H5)</f>
        <v>5</v>
      </c>
      <c r="J5" s="22" t="s">
        <v>971</v>
      </c>
      <c r="K5" s="22" t="s">
        <v>972</v>
      </c>
      <c r="L5" s="22" t="s">
        <v>973</v>
      </c>
      <c r="M5" s="22" t="s">
        <v>974</v>
      </c>
      <c r="N5" s="22" t="s">
        <v>975</v>
      </c>
      <c r="O5" s="22" t="s">
        <v>54</v>
      </c>
      <c r="P5" s="22" t="s">
        <v>976</v>
      </c>
      <c r="Q5" s="22"/>
    </row>
    <row r="6" spans="1:17" x14ac:dyDescent="0.35">
      <c r="A6" s="10"/>
      <c r="B6" s="10"/>
      <c r="C6" s="10"/>
      <c r="D6" s="10"/>
      <c r="E6" s="10"/>
      <c r="F6" s="10"/>
      <c r="G6" s="10"/>
      <c r="H6" s="10"/>
      <c r="I6" s="44" t="str">
        <f t="shared" ref="I6:I25" si="0">IF(F6="","",MAX(F6:H6))</f>
        <v/>
      </c>
      <c r="J6" s="10"/>
      <c r="K6" s="10"/>
      <c r="L6" s="10"/>
      <c r="M6" s="10"/>
      <c r="N6" s="10"/>
      <c r="O6" s="10"/>
      <c r="P6" s="10"/>
      <c r="Q6" s="10"/>
    </row>
    <row r="7" spans="1:17" x14ac:dyDescent="0.35">
      <c r="A7" s="10"/>
      <c r="B7" s="10"/>
      <c r="C7" s="10"/>
      <c r="D7" s="10"/>
      <c r="E7" s="10"/>
      <c r="F7" s="10"/>
      <c r="G7" s="10"/>
      <c r="H7" s="10"/>
      <c r="I7" s="44" t="str">
        <f t="shared" si="0"/>
        <v/>
      </c>
      <c r="J7" s="10"/>
      <c r="K7" s="10"/>
      <c r="L7" s="10"/>
      <c r="M7" s="10"/>
      <c r="N7" s="10"/>
      <c r="O7" s="10"/>
      <c r="P7" s="10"/>
      <c r="Q7" s="10"/>
    </row>
    <row r="8" spans="1:17" x14ac:dyDescent="0.35">
      <c r="A8" s="10"/>
      <c r="B8" s="10"/>
      <c r="C8" s="10"/>
      <c r="D8" s="10"/>
      <c r="E8" s="10"/>
      <c r="F8" s="10"/>
      <c r="G8" s="10"/>
      <c r="H8" s="10"/>
      <c r="I8" s="44" t="str">
        <f t="shared" si="0"/>
        <v/>
      </c>
      <c r="J8" s="10"/>
      <c r="K8" s="10"/>
      <c r="L8" s="10"/>
      <c r="M8" s="10"/>
      <c r="N8" s="10"/>
      <c r="O8" s="10"/>
      <c r="P8" s="10"/>
      <c r="Q8" s="10"/>
    </row>
    <row r="9" spans="1:17" x14ac:dyDescent="0.35">
      <c r="A9" s="10"/>
      <c r="B9" s="10"/>
      <c r="C9" s="10"/>
      <c r="D9" s="10"/>
      <c r="E9" s="10"/>
      <c r="F9" s="10"/>
      <c r="G9" s="10"/>
      <c r="H9" s="10"/>
      <c r="I9" s="44" t="str">
        <f t="shared" si="0"/>
        <v/>
      </c>
      <c r="J9" s="10"/>
      <c r="K9" s="10"/>
      <c r="L9" s="10"/>
      <c r="M9" s="10"/>
      <c r="N9" s="10"/>
      <c r="O9" s="10"/>
      <c r="P9" s="10"/>
      <c r="Q9" s="10"/>
    </row>
    <row r="10" spans="1:17" x14ac:dyDescent="0.35">
      <c r="A10" s="10"/>
      <c r="B10" s="10"/>
      <c r="C10" s="10"/>
      <c r="D10" s="10"/>
      <c r="E10" s="10"/>
      <c r="F10" s="10"/>
      <c r="G10" s="10"/>
      <c r="H10" s="10"/>
      <c r="I10" s="44" t="str">
        <f t="shared" si="0"/>
        <v/>
      </c>
      <c r="J10" s="10"/>
      <c r="K10" s="10"/>
      <c r="L10" s="10"/>
      <c r="M10" s="10"/>
      <c r="N10" s="10"/>
      <c r="O10" s="10"/>
      <c r="P10" s="10"/>
      <c r="Q10" s="10"/>
    </row>
    <row r="11" spans="1:17" x14ac:dyDescent="0.35">
      <c r="A11" s="10"/>
      <c r="B11" s="10"/>
      <c r="C11" s="10"/>
      <c r="D11" s="10"/>
      <c r="E11" s="10"/>
      <c r="F11" s="10"/>
      <c r="G11" s="10"/>
      <c r="H11" s="10"/>
      <c r="I11" s="44" t="str">
        <f t="shared" si="0"/>
        <v/>
      </c>
      <c r="J11" s="10"/>
      <c r="K11" s="10"/>
      <c r="L11" s="10"/>
      <c r="M11" s="10"/>
      <c r="N11" s="10"/>
      <c r="O11" s="10"/>
      <c r="P11" s="10"/>
      <c r="Q11" s="10"/>
    </row>
    <row r="12" spans="1:17" x14ac:dyDescent="0.35">
      <c r="A12" s="10"/>
      <c r="B12" s="10"/>
      <c r="C12" s="10"/>
      <c r="D12" s="10"/>
      <c r="E12" s="10"/>
      <c r="F12" s="10"/>
      <c r="G12" s="10"/>
      <c r="H12" s="10"/>
      <c r="I12" s="44" t="str">
        <f t="shared" si="0"/>
        <v/>
      </c>
      <c r="J12" s="10"/>
      <c r="K12" s="10"/>
      <c r="L12" s="10"/>
      <c r="M12" s="10"/>
      <c r="N12" s="10"/>
      <c r="O12" s="10"/>
      <c r="P12" s="10"/>
      <c r="Q12" s="10"/>
    </row>
    <row r="13" spans="1:17" x14ac:dyDescent="0.35">
      <c r="A13" s="10"/>
      <c r="B13" s="10"/>
      <c r="C13" s="10"/>
      <c r="D13" s="10"/>
      <c r="E13" s="10"/>
      <c r="F13" s="10"/>
      <c r="G13" s="10"/>
      <c r="H13" s="10"/>
      <c r="I13" s="44" t="str">
        <f t="shared" si="0"/>
        <v/>
      </c>
      <c r="J13" s="10"/>
      <c r="K13" s="10"/>
      <c r="L13" s="10"/>
      <c r="M13" s="10"/>
      <c r="N13" s="10"/>
      <c r="O13" s="10"/>
      <c r="P13" s="10"/>
      <c r="Q13" s="10"/>
    </row>
    <row r="14" spans="1:17" x14ac:dyDescent="0.35">
      <c r="A14" s="10"/>
      <c r="B14" s="10"/>
      <c r="C14" s="10"/>
      <c r="D14" s="10"/>
      <c r="E14" s="10"/>
      <c r="F14" s="10"/>
      <c r="G14" s="10"/>
      <c r="H14" s="10"/>
      <c r="I14" s="44" t="str">
        <f t="shared" si="0"/>
        <v/>
      </c>
      <c r="J14" s="10"/>
      <c r="K14" s="10"/>
      <c r="L14" s="10"/>
      <c r="M14" s="10"/>
      <c r="N14" s="10"/>
      <c r="O14" s="10"/>
      <c r="P14" s="10"/>
      <c r="Q14" s="10"/>
    </row>
    <row r="15" spans="1:17" x14ac:dyDescent="0.35">
      <c r="A15" s="10"/>
      <c r="B15" s="10"/>
      <c r="C15" s="10"/>
      <c r="D15" s="10"/>
      <c r="E15" s="10"/>
      <c r="F15" s="10"/>
      <c r="G15" s="10"/>
      <c r="H15" s="10"/>
      <c r="I15" s="44" t="str">
        <f t="shared" si="0"/>
        <v/>
      </c>
      <c r="J15" s="10"/>
      <c r="K15" s="10"/>
      <c r="L15" s="10"/>
      <c r="M15" s="10"/>
      <c r="N15" s="10"/>
      <c r="O15" s="10"/>
      <c r="P15" s="10"/>
      <c r="Q15" s="10"/>
    </row>
    <row r="16" spans="1:17" x14ac:dyDescent="0.35">
      <c r="A16" s="10"/>
      <c r="B16" s="10"/>
      <c r="C16" s="10"/>
      <c r="D16" s="10"/>
      <c r="E16" s="10"/>
      <c r="F16" s="10"/>
      <c r="G16" s="10"/>
      <c r="H16" s="10"/>
      <c r="I16" s="44" t="str">
        <f t="shared" si="0"/>
        <v/>
      </c>
      <c r="J16" s="10"/>
      <c r="K16" s="10"/>
      <c r="L16" s="10"/>
      <c r="M16" s="10"/>
      <c r="N16" s="10"/>
      <c r="O16" s="10"/>
      <c r="P16" s="10"/>
      <c r="Q16" s="10"/>
    </row>
    <row r="17" spans="1:17" x14ac:dyDescent="0.35">
      <c r="A17" s="10"/>
      <c r="B17" s="10"/>
      <c r="C17" s="10"/>
      <c r="D17" s="10"/>
      <c r="E17" s="10"/>
      <c r="F17" s="10"/>
      <c r="G17" s="10"/>
      <c r="H17" s="10"/>
      <c r="I17" s="44" t="str">
        <f t="shared" si="0"/>
        <v/>
      </c>
      <c r="J17" s="10"/>
      <c r="K17" s="10"/>
      <c r="L17" s="10"/>
      <c r="M17" s="10"/>
      <c r="N17" s="10"/>
      <c r="O17" s="10"/>
      <c r="P17" s="10"/>
      <c r="Q17" s="10"/>
    </row>
    <row r="18" spans="1:17" x14ac:dyDescent="0.35">
      <c r="A18" s="10"/>
      <c r="B18" s="10"/>
      <c r="C18" s="10"/>
      <c r="D18" s="10"/>
      <c r="E18" s="10"/>
      <c r="F18" s="10"/>
      <c r="G18" s="10"/>
      <c r="H18" s="10"/>
      <c r="I18" s="44" t="str">
        <f t="shared" si="0"/>
        <v/>
      </c>
      <c r="J18" s="10"/>
      <c r="K18" s="10"/>
      <c r="L18" s="10"/>
      <c r="M18" s="10"/>
      <c r="N18" s="10"/>
      <c r="O18" s="10"/>
      <c r="P18" s="10"/>
      <c r="Q18" s="10"/>
    </row>
    <row r="19" spans="1:17" x14ac:dyDescent="0.35">
      <c r="A19" s="10"/>
      <c r="B19" s="10"/>
      <c r="C19" s="10"/>
      <c r="D19" s="10"/>
      <c r="E19" s="10"/>
      <c r="F19" s="10"/>
      <c r="G19" s="10"/>
      <c r="H19" s="10"/>
      <c r="I19" s="44" t="str">
        <f t="shared" si="0"/>
        <v/>
      </c>
      <c r="J19" s="10"/>
      <c r="K19" s="10"/>
      <c r="L19" s="10"/>
      <c r="M19" s="10"/>
      <c r="N19" s="10"/>
      <c r="O19" s="10"/>
      <c r="P19" s="10"/>
      <c r="Q19" s="10"/>
    </row>
    <row r="20" spans="1:17" x14ac:dyDescent="0.35">
      <c r="A20" s="10"/>
      <c r="B20" s="10"/>
      <c r="C20" s="10"/>
      <c r="D20" s="10"/>
      <c r="E20" s="10"/>
      <c r="F20" s="10"/>
      <c r="G20" s="10"/>
      <c r="H20" s="10"/>
      <c r="I20" s="44" t="str">
        <f t="shared" si="0"/>
        <v/>
      </c>
      <c r="J20" s="10"/>
      <c r="K20" s="10"/>
      <c r="L20" s="10"/>
      <c r="M20" s="10"/>
      <c r="N20" s="10"/>
      <c r="O20" s="10"/>
      <c r="P20" s="10"/>
      <c r="Q20" s="10"/>
    </row>
    <row r="21" spans="1:17" x14ac:dyDescent="0.35">
      <c r="A21" s="10"/>
      <c r="B21" s="10"/>
      <c r="C21" s="10"/>
      <c r="D21" s="10"/>
      <c r="E21" s="10"/>
      <c r="F21" s="10"/>
      <c r="G21" s="10"/>
      <c r="H21" s="10"/>
      <c r="I21" s="44" t="str">
        <f t="shared" si="0"/>
        <v/>
      </c>
      <c r="J21" s="10"/>
      <c r="K21" s="10"/>
      <c r="L21" s="10"/>
      <c r="M21" s="10"/>
      <c r="N21" s="10"/>
      <c r="O21" s="10"/>
      <c r="P21" s="10"/>
      <c r="Q21" s="10"/>
    </row>
    <row r="22" spans="1:17" x14ac:dyDescent="0.35">
      <c r="A22" s="10"/>
      <c r="B22" s="10"/>
      <c r="C22" s="10"/>
      <c r="D22" s="10"/>
      <c r="E22" s="10"/>
      <c r="F22" s="10"/>
      <c r="G22" s="10"/>
      <c r="H22" s="10"/>
      <c r="I22" s="44" t="str">
        <f t="shared" si="0"/>
        <v/>
      </c>
      <c r="J22" s="10"/>
      <c r="K22" s="10"/>
      <c r="L22" s="10"/>
      <c r="M22" s="10"/>
      <c r="N22" s="10"/>
      <c r="O22" s="10"/>
      <c r="P22" s="10"/>
      <c r="Q22" s="10"/>
    </row>
    <row r="23" spans="1:17" x14ac:dyDescent="0.35">
      <c r="A23" s="10"/>
      <c r="B23" s="10"/>
      <c r="C23" s="10"/>
      <c r="D23" s="10"/>
      <c r="E23" s="10"/>
      <c r="F23" s="10"/>
      <c r="G23" s="10"/>
      <c r="H23" s="10"/>
      <c r="I23" s="44" t="str">
        <f t="shared" si="0"/>
        <v/>
      </c>
      <c r="J23" s="10"/>
      <c r="K23" s="10"/>
      <c r="L23" s="10"/>
      <c r="M23" s="10"/>
      <c r="N23" s="10"/>
      <c r="O23" s="10"/>
      <c r="P23" s="10"/>
      <c r="Q23" s="10"/>
    </row>
    <row r="24" spans="1:17" x14ac:dyDescent="0.35">
      <c r="A24" s="10"/>
      <c r="B24" s="10"/>
      <c r="C24" s="10"/>
      <c r="D24" s="10"/>
      <c r="E24" s="10"/>
      <c r="F24" s="10"/>
      <c r="G24" s="10"/>
      <c r="H24" s="10"/>
      <c r="I24" s="44" t="str">
        <f t="shared" si="0"/>
        <v/>
      </c>
      <c r="J24" s="10"/>
      <c r="K24" s="10"/>
      <c r="L24" s="10"/>
      <c r="M24" s="10"/>
      <c r="N24" s="10"/>
      <c r="O24" s="10"/>
      <c r="P24" s="10"/>
      <c r="Q24" s="10"/>
    </row>
    <row r="25" spans="1:17" x14ac:dyDescent="0.35">
      <c r="A25" s="10"/>
      <c r="B25" s="10"/>
      <c r="C25" s="10"/>
      <c r="D25" s="10"/>
      <c r="E25" s="10"/>
      <c r="F25" s="10"/>
      <c r="G25" s="10"/>
      <c r="H25" s="10"/>
      <c r="I25" s="44" t="str">
        <f t="shared" si="0"/>
        <v/>
      </c>
      <c r="J25" s="10"/>
      <c r="K25" s="10"/>
      <c r="L25" s="10"/>
      <c r="M25" s="10"/>
      <c r="N25" s="10"/>
      <c r="O25" s="10"/>
      <c r="P25" s="10"/>
      <c r="Q25" s="10"/>
    </row>
  </sheetData>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2">
        <x14:dataValidation type="list" allowBlank="1" showErrorMessage="1" error="Choose a value from the list" xr:uid="{00000000-0002-0000-0900-000000000000}">
          <x14:formula1>
            <xm:f>Lists!$O$4:$O$8</xm:f>
          </x14:formula1>
          <x14:formula2>
            <xm:f>0</xm:f>
          </x14:formula2>
          <xm:sqref>F6:H25</xm:sqref>
        </x14:dataValidation>
        <x14:dataValidation type="list" allowBlank="1" showErrorMessage="1" error="Choose a value from the list" xr:uid="{00000000-0002-0000-0900-000001000000}">
          <x14:formula1>
            <xm:f>Lists!$I$4:$I$5</xm:f>
          </x14:formula1>
          <x14:formula2>
            <xm:f>0</xm:f>
          </x14:formula2>
          <xm:sqref>O6:O25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O25"/>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9" customWidth="1"/>
    <col min="2" max="3" width="14" customWidth="1"/>
    <col min="4" max="4" width="24" customWidth="1"/>
    <col min="5" max="5" width="56" customWidth="1"/>
    <col min="6" max="6" width="22" customWidth="1"/>
    <col min="7" max="7" width="30" customWidth="1"/>
    <col min="8" max="8" width="26" customWidth="1"/>
    <col min="9" max="10" width="11" customWidth="1"/>
    <col min="11" max="11" width="10" customWidth="1"/>
    <col min="12" max="12" width="11" customWidth="1"/>
    <col min="13" max="13" width="40" customWidth="1"/>
    <col min="14" max="14" width="16" customWidth="1"/>
    <col min="15" max="15" width="12" customWidth="1"/>
  </cols>
  <sheetData>
    <row r="1" spans="1:15" ht="20" x14ac:dyDescent="0.4">
      <c r="A1" s="8" t="s">
        <v>977</v>
      </c>
    </row>
    <row r="2" spans="1:15" x14ac:dyDescent="0.35">
      <c r="A2" s="6" t="s">
        <v>978</v>
      </c>
    </row>
    <row r="4" spans="1:15" ht="39.75" customHeight="1" x14ac:dyDescent="0.35">
      <c r="A4" s="11" t="s">
        <v>979</v>
      </c>
      <c r="B4" s="11" t="s">
        <v>980</v>
      </c>
      <c r="C4" s="11" t="s">
        <v>981</v>
      </c>
      <c r="D4" s="11" t="s">
        <v>982</v>
      </c>
      <c r="E4" s="11" t="s">
        <v>983</v>
      </c>
      <c r="F4" s="11" t="s">
        <v>984</v>
      </c>
      <c r="G4" s="11" t="s">
        <v>985</v>
      </c>
      <c r="H4" s="11" t="s">
        <v>986</v>
      </c>
      <c r="I4" s="11" t="s">
        <v>925</v>
      </c>
      <c r="J4" s="11" t="s">
        <v>926</v>
      </c>
      <c r="K4" s="11" t="s">
        <v>987</v>
      </c>
      <c r="L4" s="11" t="s">
        <v>928</v>
      </c>
      <c r="M4" s="11" t="s">
        <v>988</v>
      </c>
      <c r="N4" s="11" t="s">
        <v>910</v>
      </c>
      <c r="O4" s="11" t="s">
        <v>94</v>
      </c>
    </row>
    <row r="5" spans="1:15" ht="39" x14ac:dyDescent="0.35">
      <c r="A5" s="22" t="s">
        <v>895</v>
      </c>
      <c r="B5" s="22" t="s">
        <v>989</v>
      </c>
      <c r="C5" s="22" t="s">
        <v>895</v>
      </c>
      <c r="D5" s="22" t="s">
        <v>990</v>
      </c>
      <c r="E5" s="22" t="s">
        <v>991</v>
      </c>
      <c r="F5" s="22" t="s">
        <v>992</v>
      </c>
      <c r="G5" s="22" t="s">
        <v>993</v>
      </c>
      <c r="H5" s="22" t="s">
        <v>994</v>
      </c>
      <c r="I5" s="22">
        <v>4</v>
      </c>
      <c r="J5" s="22">
        <v>5</v>
      </c>
      <c r="K5" s="22">
        <f>I5*J5</f>
        <v>20</v>
      </c>
      <c r="L5" s="22" t="str">
        <f>INDEX(Risk_Model!$B$30:$B$33,MATCH(K5,Risk_Model!$A$30:$A$33,1))</f>
        <v>Critical</v>
      </c>
      <c r="M5" s="22" t="s">
        <v>995</v>
      </c>
      <c r="N5" s="22" t="s">
        <v>996</v>
      </c>
      <c r="O5" s="22" t="s">
        <v>919</v>
      </c>
    </row>
    <row r="6" spans="1:15" x14ac:dyDescent="0.35">
      <c r="A6" s="10"/>
      <c r="B6" s="10"/>
      <c r="C6" s="10"/>
      <c r="D6" s="10"/>
      <c r="E6" s="10"/>
      <c r="F6" s="10"/>
      <c r="G6" s="10"/>
      <c r="H6" s="10"/>
      <c r="I6" s="10"/>
      <c r="J6" s="10"/>
      <c r="K6" s="44" t="str">
        <f t="shared" ref="K6:K25" si="0">IF(OR(I6="",J6=""),"",I6*J6)</f>
        <v/>
      </c>
      <c r="L6" s="44" t="str">
        <f>IF(K6="","",INDEX(Risk_Model!$B$30:$B$33,MATCH(K6,Risk_Model!$A$30:$A$33,1)))</f>
        <v/>
      </c>
      <c r="M6" s="10"/>
      <c r="N6" s="10"/>
      <c r="O6" s="10"/>
    </row>
    <row r="7" spans="1:15" x14ac:dyDescent="0.35">
      <c r="A7" s="10"/>
      <c r="B7" s="10"/>
      <c r="C7" s="10"/>
      <c r="D7" s="10"/>
      <c r="E7" s="10"/>
      <c r="F7" s="10"/>
      <c r="G7" s="10"/>
      <c r="H7" s="10"/>
      <c r="I7" s="10"/>
      <c r="J7" s="10"/>
      <c r="K7" s="44" t="str">
        <f t="shared" si="0"/>
        <v/>
      </c>
      <c r="L7" s="44" t="str">
        <f>IF(K7="","",INDEX(Risk_Model!$B$30:$B$33,MATCH(K7,Risk_Model!$A$30:$A$33,1)))</f>
        <v/>
      </c>
      <c r="M7" s="10"/>
      <c r="N7" s="10"/>
      <c r="O7" s="10"/>
    </row>
    <row r="8" spans="1:15" x14ac:dyDescent="0.35">
      <c r="A8" s="10"/>
      <c r="B8" s="10"/>
      <c r="C8" s="10"/>
      <c r="D8" s="10"/>
      <c r="E8" s="10"/>
      <c r="F8" s="10"/>
      <c r="G8" s="10"/>
      <c r="H8" s="10"/>
      <c r="I8" s="10"/>
      <c r="J8" s="10"/>
      <c r="K8" s="44" t="str">
        <f t="shared" si="0"/>
        <v/>
      </c>
      <c r="L8" s="44" t="str">
        <f>IF(K8="","",INDEX(Risk_Model!$B$30:$B$33,MATCH(K8,Risk_Model!$A$30:$A$33,1)))</f>
        <v/>
      </c>
      <c r="M8" s="10"/>
      <c r="N8" s="10"/>
      <c r="O8" s="10"/>
    </row>
    <row r="9" spans="1:15" x14ac:dyDescent="0.35">
      <c r="A9" s="10"/>
      <c r="B9" s="10"/>
      <c r="C9" s="10"/>
      <c r="D9" s="10"/>
      <c r="E9" s="10"/>
      <c r="F9" s="10"/>
      <c r="G9" s="10"/>
      <c r="H9" s="10"/>
      <c r="I9" s="10"/>
      <c r="J9" s="10"/>
      <c r="K9" s="44" t="str">
        <f t="shared" si="0"/>
        <v/>
      </c>
      <c r="L9" s="44" t="str">
        <f>IF(K9="","",INDEX(Risk_Model!$B$30:$B$33,MATCH(K9,Risk_Model!$A$30:$A$33,1)))</f>
        <v/>
      </c>
      <c r="M9" s="10"/>
      <c r="N9" s="10"/>
      <c r="O9" s="10"/>
    </row>
    <row r="10" spans="1:15" x14ac:dyDescent="0.35">
      <c r="A10" s="10"/>
      <c r="B10" s="10"/>
      <c r="C10" s="10"/>
      <c r="D10" s="10"/>
      <c r="E10" s="10"/>
      <c r="F10" s="10"/>
      <c r="G10" s="10"/>
      <c r="H10" s="10"/>
      <c r="I10" s="10"/>
      <c r="J10" s="10"/>
      <c r="K10" s="44" t="str">
        <f t="shared" si="0"/>
        <v/>
      </c>
      <c r="L10" s="44" t="str">
        <f>IF(K10="","",INDEX(Risk_Model!$B$30:$B$33,MATCH(K10,Risk_Model!$A$30:$A$33,1)))</f>
        <v/>
      </c>
      <c r="M10" s="10"/>
      <c r="N10" s="10"/>
      <c r="O10" s="10"/>
    </row>
    <row r="11" spans="1:15" x14ac:dyDescent="0.35">
      <c r="A11" s="10"/>
      <c r="B11" s="10"/>
      <c r="C11" s="10"/>
      <c r="D11" s="10"/>
      <c r="E11" s="10"/>
      <c r="F11" s="10"/>
      <c r="G11" s="10"/>
      <c r="H11" s="10"/>
      <c r="I11" s="10"/>
      <c r="J11" s="10"/>
      <c r="K11" s="44" t="str">
        <f t="shared" si="0"/>
        <v/>
      </c>
      <c r="L11" s="44" t="str">
        <f>IF(K11="","",INDEX(Risk_Model!$B$30:$B$33,MATCH(K11,Risk_Model!$A$30:$A$33,1)))</f>
        <v/>
      </c>
      <c r="M11" s="10"/>
      <c r="N11" s="10"/>
      <c r="O11" s="10"/>
    </row>
    <row r="12" spans="1:15" x14ac:dyDescent="0.35">
      <c r="A12" s="10"/>
      <c r="B12" s="10"/>
      <c r="C12" s="10"/>
      <c r="D12" s="10"/>
      <c r="E12" s="10"/>
      <c r="F12" s="10"/>
      <c r="G12" s="10"/>
      <c r="H12" s="10"/>
      <c r="I12" s="10"/>
      <c r="J12" s="10"/>
      <c r="K12" s="44" t="str">
        <f t="shared" si="0"/>
        <v/>
      </c>
      <c r="L12" s="44" t="str">
        <f>IF(K12="","",INDEX(Risk_Model!$B$30:$B$33,MATCH(K12,Risk_Model!$A$30:$A$33,1)))</f>
        <v/>
      </c>
      <c r="M12" s="10"/>
      <c r="N12" s="10"/>
      <c r="O12" s="10"/>
    </row>
    <row r="13" spans="1:15" x14ac:dyDescent="0.35">
      <c r="A13" s="10"/>
      <c r="B13" s="10"/>
      <c r="C13" s="10"/>
      <c r="D13" s="10"/>
      <c r="E13" s="10"/>
      <c r="F13" s="10"/>
      <c r="G13" s="10"/>
      <c r="H13" s="10"/>
      <c r="I13" s="10"/>
      <c r="J13" s="10"/>
      <c r="K13" s="44" t="str">
        <f t="shared" si="0"/>
        <v/>
      </c>
      <c r="L13" s="44" t="str">
        <f>IF(K13="","",INDEX(Risk_Model!$B$30:$B$33,MATCH(K13,Risk_Model!$A$30:$A$33,1)))</f>
        <v/>
      </c>
      <c r="M13" s="10"/>
      <c r="N13" s="10"/>
      <c r="O13" s="10"/>
    </row>
    <row r="14" spans="1:15" x14ac:dyDescent="0.35">
      <c r="A14" s="10"/>
      <c r="B14" s="10"/>
      <c r="C14" s="10"/>
      <c r="D14" s="10"/>
      <c r="E14" s="10"/>
      <c r="F14" s="10"/>
      <c r="G14" s="10"/>
      <c r="H14" s="10"/>
      <c r="I14" s="10"/>
      <c r="J14" s="10"/>
      <c r="K14" s="44" t="str">
        <f t="shared" si="0"/>
        <v/>
      </c>
      <c r="L14" s="44" t="str">
        <f>IF(K14="","",INDEX(Risk_Model!$B$30:$B$33,MATCH(K14,Risk_Model!$A$30:$A$33,1)))</f>
        <v/>
      </c>
      <c r="M14" s="10"/>
      <c r="N14" s="10"/>
      <c r="O14" s="10"/>
    </row>
    <row r="15" spans="1:15" x14ac:dyDescent="0.35">
      <c r="A15" s="10"/>
      <c r="B15" s="10"/>
      <c r="C15" s="10"/>
      <c r="D15" s="10"/>
      <c r="E15" s="10"/>
      <c r="F15" s="10"/>
      <c r="G15" s="10"/>
      <c r="H15" s="10"/>
      <c r="I15" s="10"/>
      <c r="J15" s="10"/>
      <c r="K15" s="44" t="str">
        <f t="shared" si="0"/>
        <v/>
      </c>
      <c r="L15" s="44" t="str">
        <f>IF(K15="","",INDEX(Risk_Model!$B$30:$B$33,MATCH(K15,Risk_Model!$A$30:$A$33,1)))</f>
        <v/>
      </c>
      <c r="M15" s="10"/>
      <c r="N15" s="10"/>
      <c r="O15" s="10"/>
    </row>
    <row r="16" spans="1:15" x14ac:dyDescent="0.35">
      <c r="A16" s="10"/>
      <c r="B16" s="10"/>
      <c r="C16" s="10"/>
      <c r="D16" s="10"/>
      <c r="E16" s="10"/>
      <c r="F16" s="10"/>
      <c r="G16" s="10"/>
      <c r="H16" s="10"/>
      <c r="I16" s="10"/>
      <c r="J16" s="10"/>
      <c r="K16" s="44" t="str">
        <f t="shared" si="0"/>
        <v/>
      </c>
      <c r="L16" s="44" t="str">
        <f>IF(K16="","",INDEX(Risk_Model!$B$30:$B$33,MATCH(K16,Risk_Model!$A$30:$A$33,1)))</f>
        <v/>
      </c>
      <c r="M16" s="10"/>
      <c r="N16" s="10"/>
      <c r="O16" s="10"/>
    </row>
    <row r="17" spans="1:15" x14ac:dyDescent="0.35">
      <c r="A17" s="10"/>
      <c r="B17" s="10"/>
      <c r="C17" s="10"/>
      <c r="D17" s="10"/>
      <c r="E17" s="10"/>
      <c r="F17" s="10"/>
      <c r="G17" s="10"/>
      <c r="H17" s="10"/>
      <c r="I17" s="10"/>
      <c r="J17" s="10"/>
      <c r="K17" s="44" t="str">
        <f t="shared" si="0"/>
        <v/>
      </c>
      <c r="L17" s="44" t="str">
        <f>IF(K17="","",INDEX(Risk_Model!$B$30:$B$33,MATCH(K17,Risk_Model!$A$30:$A$33,1)))</f>
        <v/>
      </c>
      <c r="M17" s="10"/>
      <c r="N17" s="10"/>
      <c r="O17" s="10"/>
    </row>
    <row r="18" spans="1:15" x14ac:dyDescent="0.35">
      <c r="A18" s="10"/>
      <c r="B18" s="10"/>
      <c r="C18" s="10"/>
      <c r="D18" s="10"/>
      <c r="E18" s="10"/>
      <c r="F18" s="10"/>
      <c r="G18" s="10"/>
      <c r="H18" s="10"/>
      <c r="I18" s="10"/>
      <c r="J18" s="10"/>
      <c r="K18" s="44" t="str">
        <f t="shared" si="0"/>
        <v/>
      </c>
      <c r="L18" s="44" t="str">
        <f>IF(K18="","",INDEX(Risk_Model!$B$30:$B$33,MATCH(K18,Risk_Model!$A$30:$A$33,1)))</f>
        <v/>
      </c>
      <c r="M18" s="10"/>
      <c r="N18" s="10"/>
      <c r="O18" s="10"/>
    </row>
    <row r="19" spans="1:15" x14ac:dyDescent="0.35">
      <c r="A19" s="10"/>
      <c r="B19" s="10"/>
      <c r="C19" s="10"/>
      <c r="D19" s="10"/>
      <c r="E19" s="10"/>
      <c r="F19" s="10"/>
      <c r="G19" s="10"/>
      <c r="H19" s="10"/>
      <c r="I19" s="10"/>
      <c r="J19" s="10"/>
      <c r="K19" s="44" t="str">
        <f t="shared" si="0"/>
        <v/>
      </c>
      <c r="L19" s="44" t="str">
        <f>IF(K19="","",INDEX(Risk_Model!$B$30:$B$33,MATCH(K19,Risk_Model!$A$30:$A$33,1)))</f>
        <v/>
      </c>
      <c r="M19" s="10"/>
      <c r="N19" s="10"/>
      <c r="O19" s="10"/>
    </row>
    <row r="20" spans="1:15" x14ac:dyDescent="0.35">
      <c r="A20" s="10"/>
      <c r="B20" s="10"/>
      <c r="C20" s="10"/>
      <c r="D20" s="10"/>
      <c r="E20" s="10"/>
      <c r="F20" s="10"/>
      <c r="G20" s="10"/>
      <c r="H20" s="10"/>
      <c r="I20" s="10"/>
      <c r="J20" s="10"/>
      <c r="K20" s="44" t="str">
        <f t="shared" si="0"/>
        <v/>
      </c>
      <c r="L20" s="44" t="str">
        <f>IF(K20="","",INDEX(Risk_Model!$B$30:$B$33,MATCH(K20,Risk_Model!$A$30:$A$33,1)))</f>
        <v/>
      </c>
      <c r="M20" s="10"/>
      <c r="N20" s="10"/>
      <c r="O20" s="10"/>
    </row>
    <row r="21" spans="1:15" x14ac:dyDescent="0.35">
      <c r="A21" s="10"/>
      <c r="B21" s="10"/>
      <c r="C21" s="10"/>
      <c r="D21" s="10"/>
      <c r="E21" s="10"/>
      <c r="F21" s="10"/>
      <c r="G21" s="10"/>
      <c r="H21" s="10"/>
      <c r="I21" s="10"/>
      <c r="J21" s="10"/>
      <c r="K21" s="44" t="str">
        <f t="shared" si="0"/>
        <v/>
      </c>
      <c r="L21" s="44" t="str">
        <f>IF(K21="","",INDEX(Risk_Model!$B$30:$B$33,MATCH(K21,Risk_Model!$A$30:$A$33,1)))</f>
        <v/>
      </c>
      <c r="M21" s="10"/>
      <c r="N21" s="10"/>
      <c r="O21" s="10"/>
    </row>
    <row r="22" spans="1:15" x14ac:dyDescent="0.35">
      <c r="A22" s="10"/>
      <c r="B22" s="10"/>
      <c r="C22" s="10"/>
      <c r="D22" s="10"/>
      <c r="E22" s="10"/>
      <c r="F22" s="10"/>
      <c r="G22" s="10"/>
      <c r="H22" s="10"/>
      <c r="I22" s="10"/>
      <c r="J22" s="10"/>
      <c r="K22" s="44" t="str">
        <f t="shared" si="0"/>
        <v/>
      </c>
      <c r="L22" s="44" t="str">
        <f>IF(K22="","",INDEX(Risk_Model!$B$30:$B$33,MATCH(K22,Risk_Model!$A$30:$A$33,1)))</f>
        <v/>
      </c>
      <c r="M22" s="10"/>
      <c r="N22" s="10"/>
      <c r="O22" s="10"/>
    </row>
    <row r="23" spans="1:15" x14ac:dyDescent="0.35">
      <c r="A23" s="10"/>
      <c r="B23" s="10"/>
      <c r="C23" s="10"/>
      <c r="D23" s="10"/>
      <c r="E23" s="10"/>
      <c r="F23" s="10"/>
      <c r="G23" s="10"/>
      <c r="H23" s="10"/>
      <c r="I23" s="10"/>
      <c r="J23" s="10"/>
      <c r="K23" s="44" t="str">
        <f t="shared" si="0"/>
        <v/>
      </c>
      <c r="L23" s="44" t="str">
        <f>IF(K23="","",INDEX(Risk_Model!$B$30:$B$33,MATCH(K23,Risk_Model!$A$30:$A$33,1)))</f>
        <v/>
      </c>
      <c r="M23" s="10"/>
      <c r="N23" s="10"/>
      <c r="O23" s="10"/>
    </row>
    <row r="24" spans="1:15" x14ac:dyDescent="0.35">
      <c r="A24" s="10"/>
      <c r="B24" s="10"/>
      <c r="C24" s="10"/>
      <c r="D24" s="10"/>
      <c r="E24" s="10"/>
      <c r="F24" s="10"/>
      <c r="G24" s="10"/>
      <c r="H24" s="10"/>
      <c r="I24" s="10"/>
      <c r="J24" s="10"/>
      <c r="K24" s="44" t="str">
        <f t="shared" si="0"/>
        <v/>
      </c>
      <c r="L24" s="44" t="str">
        <f>IF(K24="","",INDEX(Risk_Model!$B$30:$B$33,MATCH(K24,Risk_Model!$A$30:$A$33,1)))</f>
        <v/>
      </c>
      <c r="M24" s="10"/>
      <c r="N24" s="10"/>
      <c r="O24" s="10"/>
    </row>
    <row r="25" spans="1:15" x14ac:dyDescent="0.35">
      <c r="A25" s="10"/>
      <c r="B25" s="10"/>
      <c r="C25" s="10"/>
      <c r="D25" s="10"/>
      <c r="E25" s="10"/>
      <c r="F25" s="10"/>
      <c r="G25" s="10"/>
      <c r="H25" s="10"/>
      <c r="I25" s="10"/>
      <c r="J25" s="10"/>
      <c r="K25" s="44" t="str">
        <f t="shared" si="0"/>
        <v/>
      </c>
      <c r="L25" s="44" t="str">
        <f>IF(K25="","",INDEX(Risk_Model!$B$30:$B$33,MATCH(K25,Risk_Model!$A$30:$A$33,1)))</f>
        <v/>
      </c>
      <c r="M25" s="10"/>
      <c r="N25" s="10"/>
      <c r="O25" s="10"/>
    </row>
  </sheetData>
  <conditionalFormatting sqref="L6:L25">
    <cfRule type="cellIs" dxfId="7" priority="2" operator="equal">
      <formula>"Low"</formula>
    </cfRule>
    <cfRule type="cellIs" dxfId="6" priority="3" operator="equal">
      <formula>"Medium"</formula>
    </cfRule>
    <cfRule type="cellIs" dxfId="5" priority="4" operator="equal">
      <formula>"High"</formula>
    </cfRule>
    <cfRule type="cellIs" dxfId="4" priority="5" operator="equal">
      <formula>"Critical"</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3">
        <x14:dataValidation type="list" allowBlank="1" showErrorMessage="1" error="Choose a value from the list" xr:uid="{00000000-0002-0000-0A00-000000000000}">
          <x14:formula1>
            <xm:f>Lists!$M$4:$M$8</xm:f>
          </x14:formula1>
          <x14:formula2>
            <xm:f>0</xm:f>
          </x14:formula2>
          <xm:sqref>B6:B25</xm:sqref>
        </x14:dataValidation>
        <x14:dataValidation type="list" allowBlank="1" showErrorMessage="1" error="Choose a value from the list" xr:uid="{00000000-0002-0000-0A00-000001000000}">
          <x14:formula1>
            <xm:f>Lists!$O$4:$O$8</xm:f>
          </x14:formula1>
          <x14:formula2>
            <xm:f>0</xm:f>
          </x14:formula2>
          <xm:sqref>I6:J25</xm:sqref>
        </x14:dataValidation>
        <x14:dataValidation type="list" allowBlank="1" showErrorMessage="1" error="Choose a value from the list" xr:uid="{00000000-0002-0000-0A00-000002000000}">
          <x14:formula1>
            <xm:f>Crown_Jewels!$A$6:$A$25</xm:f>
          </x14:formula1>
          <x14:formula2>
            <xm:f>0</xm:f>
          </x14:formula2>
          <xm:sqref>C6:C25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sheetPr>
  <dimension ref="A1:AG64"/>
  <sheetViews>
    <sheetView zoomScaleNormal="100" workbookViewId="0">
      <pane xSplit="4" ySplit="4" topLeftCell="E5" activePane="bottomRight" state="frozen"/>
      <selection pane="topRight" activeCell="E1" sqref="E1"/>
      <selection pane="bottomLeft" activeCell="A5" sqref="A5"/>
      <selection pane="bottomRight"/>
    </sheetView>
  </sheetViews>
  <sheetFormatPr defaultColWidth="8.6328125" defaultRowHeight="14.5" x14ac:dyDescent="0.35"/>
  <cols>
    <col min="1" max="1" width="14" customWidth="1"/>
    <col min="2" max="2" width="18" customWidth="1"/>
    <col min="3" max="3" width="22" customWidth="1"/>
    <col min="4" max="4" width="34" customWidth="1"/>
    <col min="5" max="5" width="11" customWidth="1"/>
    <col min="6" max="7" width="34" customWidth="1"/>
    <col min="8" max="8" width="30" customWidth="1"/>
    <col min="9" max="9" width="44" customWidth="1"/>
    <col min="10" max="10" width="12" customWidth="1"/>
    <col min="11" max="11" width="40" customWidth="1"/>
    <col min="12" max="12" width="70" customWidth="1"/>
    <col min="13" max="19" width="11" customWidth="1"/>
    <col min="20" max="20" width="12" customWidth="1"/>
    <col min="21" max="21" width="34" customWidth="1"/>
    <col min="22" max="23" width="11" customWidth="1"/>
    <col min="24" max="24" width="10" customWidth="1"/>
    <col min="25" max="26" width="11" customWidth="1"/>
    <col min="27" max="29" width="32" customWidth="1"/>
    <col min="30" max="30" width="42" customWidth="1"/>
    <col min="31" max="31" width="40" customWidth="1"/>
    <col min="32" max="32" width="46" customWidth="1"/>
    <col min="33" max="33" width="12" customWidth="1"/>
  </cols>
  <sheetData>
    <row r="1" spans="1:33" ht="20" x14ac:dyDescent="0.4">
      <c r="A1" s="8" t="s">
        <v>997</v>
      </c>
    </row>
    <row r="2" spans="1:33" x14ac:dyDescent="0.35">
      <c r="A2" s="6" t="s">
        <v>998</v>
      </c>
    </row>
    <row r="4" spans="1:33" ht="45" customHeight="1" x14ac:dyDescent="0.35">
      <c r="A4" s="11" t="s">
        <v>134</v>
      </c>
      <c r="B4" s="11" t="s">
        <v>61</v>
      </c>
      <c r="C4" s="11" t="s">
        <v>163</v>
      </c>
      <c r="D4" s="11" t="s">
        <v>164</v>
      </c>
      <c r="E4" s="11" t="s">
        <v>50</v>
      </c>
      <c r="F4" s="11" t="s">
        <v>999</v>
      </c>
      <c r="G4" s="11" t="s">
        <v>1000</v>
      </c>
      <c r="H4" s="11" t="s">
        <v>1001</v>
      </c>
      <c r="I4" s="11" t="s">
        <v>165</v>
      </c>
      <c r="J4" s="11" t="s">
        <v>1002</v>
      </c>
      <c r="K4" s="11" t="s">
        <v>1003</v>
      </c>
      <c r="L4" s="11" t="s">
        <v>1004</v>
      </c>
      <c r="M4" s="11" t="s">
        <v>1005</v>
      </c>
      <c r="N4" s="11" t="s">
        <v>1006</v>
      </c>
      <c r="O4" s="11" t="s">
        <v>1007</v>
      </c>
      <c r="P4" s="11" t="s">
        <v>1008</v>
      </c>
      <c r="Q4" s="11" t="s">
        <v>1009</v>
      </c>
      <c r="R4" s="11" t="s">
        <v>1010</v>
      </c>
      <c r="S4" s="11" t="s">
        <v>1011</v>
      </c>
      <c r="T4" s="11" t="s">
        <v>1012</v>
      </c>
      <c r="U4" s="11" t="s">
        <v>1013</v>
      </c>
      <c r="V4" s="11" t="s">
        <v>1014</v>
      </c>
      <c r="W4" s="11" t="s">
        <v>1015</v>
      </c>
      <c r="X4" s="11" t="s">
        <v>179</v>
      </c>
      <c r="Y4" s="11" t="s">
        <v>1016</v>
      </c>
      <c r="Z4" s="11" t="s">
        <v>1017</v>
      </c>
      <c r="AA4" s="11" t="s">
        <v>1018</v>
      </c>
      <c r="AB4" s="11" t="s">
        <v>1019</v>
      </c>
      <c r="AC4" s="11" t="s">
        <v>1020</v>
      </c>
      <c r="AD4" s="11" t="s">
        <v>1021</v>
      </c>
      <c r="AE4" s="11" t="s">
        <v>1022</v>
      </c>
      <c r="AF4" s="11" t="s">
        <v>1023</v>
      </c>
      <c r="AG4" s="11" t="s">
        <v>1024</v>
      </c>
    </row>
    <row r="5" spans="1:33" ht="87.5" x14ac:dyDescent="0.35">
      <c r="A5" s="17" t="s">
        <v>185</v>
      </c>
      <c r="B5" s="12" t="s">
        <v>66</v>
      </c>
      <c r="C5" s="12" t="s">
        <v>97</v>
      </c>
      <c r="D5" s="12" t="s">
        <v>187</v>
      </c>
      <c r="E5" s="12" t="s">
        <v>186</v>
      </c>
      <c r="F5" s="12" t="s">
        <v>1025</v>
      </c>
      <c r="G5" s="12" t="s">
        <v>1026</v>
      </c>
      <c r="H5" s="12" t="s">
        <v>1027</v>
      </c>
      <c r="I5" s="12" t="s">
        <v>188</v>
      </c>
      <c r="J5" s="12" t="s">
        <v>1028</v>
      </c>
      <c r="K5" s="12" t="s">
        <v>1029</v>
      </c>
      <c r="L5" s="12" t="s">
        <v>1030</v>
      </c>
      <c r="M5" s="20" t="s">
        <v>1031</v>
      </c>
      <c r="N5" s="20" t="s">
        <v>1031</v>
      </c>
      <c r="O5" s="20"/>
      <c r="P5" s="20" t="s">
        <v>1031</v>
      </c>
      <c r="Q5" s="20"/>
      <c r="R5" s="20"/>
      <c r="S5" s="20"/>
      <c r="T5" s="20" t="s">
        <v>131</v>
      </c>
      <c r="U5" s="12" t="s">
        <v>1032</v>
      </c>
      <c r="V5" s="20">
        <v>2</v>
      </c>
      <c r="W5" s="20">
        <v>5</v>
      </c>
      <c r="X5" s="20">
        <f t="shared" ref="X5:X36" si="0">V5*W5</f>
        <v>10</v>
      </c>
      <c r="Y5" s="20" t="str">
        <f>INDEX(Risk_Model!$B$30:$B$33,MATCH(X5,Risk_Model!$A$30:$A$33,1))</f>
        <v>High</v>
      </c>
      <c r="Z5" s="20">
        <v>2</v>
      </c>
      <c r="AA5" s="12" t="s">
        <v>1033</v>
      </c>
      <c r="AB5" s="12" t="s">
        <v>1034</v>
      </c>
      <c r="AC5" s="12" t="s">
        <v>1035</v>
      </c>
      <c r="AD5" s="12" t="s">
        <v>1036</v>
      </c>
      <c r="AE5" s="12" t="s">
        <v>1037</v>
      </c>
      <c r="AF5" s="12" t="s">
        <v>1038</v>
      </c>
      <c r="AG5" s="12" t="s">
        <v>1039</v>
      </c>
    </row>
    <row r="6" spans="1:33" ht="87.5" x14ac:dyDescent="0.35">
      <c r="A6" s="17" t="s">
        <v>189</v>
      </c>
      <c r="B6" s="12" t="s">
        <v>66</v>
      </c>
      <c r="C6" s="12" t="s">
        <v>97</v>
      </c>
      <c r="D6" s="12" t="s">
        <v>190</v>
      </c>
      <c r="E6" s="12" t="s">
        <v>186</v>
      </c>
      <c r="F6" s="12" t="s">
        <v>1040</v>
      </c>
      <c r="G6" s="12" t="s">
        <v>1041</v>
      </c>
      <c r="H6" s="12" t="s">
        <v>1042</v>
      </c>
      <c r="I6" s="12" t="s">
        <v>191</v>
      </c>
      <c r="J6" s="12" t="s">
        <v>1028</v>
      </c>
      <c r="K6" s="12" t="s">
        <v>1043</v>
      </c>
      <c r="L6" s="12" t="s">
        <v>1044</v>
      </c>
      <c r="M6" s="20" t="s">
        <v>1031</v>
      </c>
      <c r="N6" s="20"/>
      <c r="O6" s="20" t="s">
        <v>1031</v>
      </c>
      <c r="P6" s="20"/>
      <c r="Q6" s="20" t="s">
        <v>1031</v>
      </c>
      <c r="R6" s="20"/>
      <c r="S6" s="20"/>
      <c r="T6" s="20" t="s">
        <v>130</v>
      </c>
      <c r="U6" s="12" t="s">
        <v>1045</v>
      </c>
      <c r="V6" s="20">
        <v>3</v>
      </c>
      <c r="W6" s="20">
        <v>5</v>
      </c>
      <c r="X6" s="20">
        <f t="shared" si="0"/>
        <v>15</v>
      </c>
      <c r="Y6" s="20" t="str">
        <f>INDEX(Risk_Model!$B$30:$B$33,MATCH(X6,Risk_Model!$A$30:$A$33,1))</f>
        <v>High</v>
      </c>
      <c r="Z6" s="20">
        <v>3</v>
      </c>
      <c r="AA6" s="12" t="s">
        <v>1046</v>
      </c>
      <c r="AB6" s="12" t="s">
        <v>1047</v>
      </c>
      <c r="AC6" s="12" t="s">
        <v>1048</v>
      </c>
      <c r="AD6" s="12" t="s">
        <v>1049</v>
      </c>
      <c r="AE6" s="12" t="s">
        <v>1037</v>
      </c>
      <c r="AF6" s="12" t="s">
        <v>1050</v>
      </c>
      <c r="AG6" s="12" t="s">
        <v>1051</v>
      </c>
    </row>
    <row r="7" spans="1:33" ht="75" x14ac:dyDescent="0.35">
      <c r="A7" s="17" t="s">
        <v>192</v>
      </c>
      <c r="B7" s="12" t="s">
        <v>66</v>
      </c>
      <c r="C7" s="12" t="s">
        <v>97</v>
      </c>
      <c r="D7" s="12" t="s">
        <v>193</v>
      </c>
      <c r="E7" s="12" t="s">
        <v>186</v>
      </c>
      <c r="F7" s="12" t="s">
        <v>1052</v>
      </c>
      <c r="G7" s="12" t="s">
        <v>1053</v>
      </c>
      <c r="H7" s="12" t="s">
        <v>1054</v>
      </c>
      <c r="I7" s="12" t="s">
        <v>194</v>
      </c>
      <c r="J7" s="12" t="s">
        <v>1028</v>
      </c>
      <c r="K7" s="12" t="s">
        <v>1055</v>
      </c>
      <c r="L7" s="12" t="s">
        <v>1056</v>
      </c>
      <c r="M7" s="20"/>
      <c r="N7" s="20"/>
      <c r="O7" s="20" t="s">
        <v>1031</v>
      </c>
      <c r="P7" s="20" t="s">
        <v>1031</v>
      </c>
      <c r="Q7" s="20" t="s">
        <v>1031</v>
      </c>
      <c r="R7" s="20"/>
      <c r="S7" s="20"/>
      <c r="T7" s="20" t="s">
        <v>130</v>
      </c>
      <c r="U7" s="12" t="s">
        <v>1057</v>
      </c>
      <c r="V7" s="20">
        <v>2</v>
      </c>
      <c r="W7" s="20">
        <v>4</v>
      </c>
      <c r="X7" s="20">
        <f t="shared" si="0"/>
        <v>8</v>
      </c>
      <c r="Y7" s="20" t="str">
        <f>INDEX(Risk_Model!$B$30:$B$33,MATCH(X7,Risk_Model!$A$30:$A$33,1))</f>
        <v>Medium</v>
      </c>
      <c r="Z7" s="20">
        <v>1</v>
      </c>
      <c r="AA7" s="12" t="s">
        <v>1058</v>
      </c>
      <c r="AB7" s="12" t="s">
        <v>1059</v>
      </c>
      <c r="AC7" s="12" t="s">
        <v>1060</v>
      </c>
      <c r="AD7" s="12" t="s">
        <v>1061</v>
      </c>
      <c r="AE7" s="12" t="s">
        <v>1037</v>
      </c>
      <c r="AF7" s="12" t="s">
        <v>1062</v>
      </c>
      <c r="AG7" s="12" t="s">
        <v>1051</v>
      </c>
    </row>
    <row r="8" spans="1:33" ht="62.5" x14ac:dyDescent="0.35">
      <c r="A8" s="17" t="s">
        <v>195</v>
      </c>
      <c r="B8" s="12" t="s">
        <v>66</v>
      </c>
      <c r="C8" s="12" t="s">
        <v>97</v>
      </c>
      <c r="D8" s="12" t="s">
        <v>196</v>
      </c>
      <c r="E8" s="12" t="s">
        <v>186</v>
      </c>
      <c r="F8" s="12" t="s">
        <v>1063</v>
      </c>
      <c r="G8" s="12" t="s">
        <v>1064</v>
      </c>
      <c r="H8" s="12" t="s">
        <v>1065</v>
      </c>
      <c r="I8" s="12" t="s">
        <v>197</v>
      </c>
      <c r="J8" s="12" t="s">
        <v>1028</v>
      </c>
      <c r="K8" s="12" t="s">
        <v>1066</v>
      </c>
      <c r="L8" s="12" t="s">
        <v>1067</v>
      </c>
      <c r="M8" s="20" t="s">
        <v>1031</v>
      </c>
      <c r="N8" s="20" t="s">
        <v>1031</v>
      </c>
      <c r="O8" s="20"/>
      <c r="P8" s="20"/>
      <c r="Q8" s="20"/>
      <c r="R8" s="20"/>
      <c r="S8" s="20"/>
      <c r="T8" s="20" t="s">
        <v>131</v>
      </c>
      <c r="U8" s="12" t="s">
        <v>1068</v>
      </c>
      <c r="V8" s="20">
        <v>2</v>
      </c>
      <c r="W8" s="20">
        <v>4</v>
      </c>
      <c r="X8" s="20">
        <f t="shared" si="0"/>
        <v>8</v>
      </c>
      <c r="Y8" s="20" t="str">
        <f>INDEX(Risk_Model!$B$30:$B$33,MATCH(X8,Risk_Model!$A$30:$A$33,1))</f>
        <v>Medium</v>
      </c>
      <c r="Z8" s="20">
        <v>2</v>
      </c>
      <c r="AA8" s="12" t="s">
        <v>1069</v>
      </c>
      <c r="AB8" s="12" t="s">
        <v>1070</v>
      </c>
      <c r="AC8" s="12" t="s">
        <v>1071</v>
      </c>
      <c r="AD8" s="12" t="s">
        <v>1072</v>
      </c>
      <c r="AE8" s="12" t="s">
        <v>1037</v>
      </c>
      <c r="AF8" s="12" t="s">
        <v>1073</v>
      </c>
      <c r="AG8" s="12" t="s">
        <v>1074</v>
      </c>
    </row>
    <row r="9" spans="1:33" ht="87.5" x14ac:dyDescent="0.35">
      <c r="A9" s="17" t="s">
        <v>198</v>
      </c>
      <c r="B9" s="12" t="s">
        <v>66</v>
      </c>
      <c r="C9" s="12" t="s">
        <v>98</v>
      </c>
      <c r="D9" s="12" t="s">
        <v>199</v>
      </c>
      <c r="E9" s="12" t="s">
        <v>186</v>
      </c>
      <c r="F9" s="12" t="s">
        <v>1075</v>
      </c>
      <c r="G9" s="12" t="s">
        <v>1076</v>
      </c>
      <c r="H9" s="12" t="s">
        <v>1077</v>
      </c>
      <c r="I9" s="12" t="s">
        <v>200</v>
      </c>
      <c r="J9" s="12" t="s">
        <v>1028</v>
      </c>
      <c r="K9" s="12" t="s">
        <v>1078</v>
      </c>
      <c r="L9" s="12" t="s">
        <v>1079</v>
      </c>
      <c r="M9" s="20"/>
      <c r="N9" s="20" t="s">
        <v>1031</v>
      </c>
      <c r="O9" s="20" t="s">
        <v>1031</v>
      </c>
      <c r="P9" s="20"/>
      <c r="Q9" s="20" t="s">
        <v>1031</v>
      </c>
      <c r="R9" s="20" t="s">
        <v>1031</v>
      </c>
      <c r="S9" s="20"/>
      <c r="T9" s="20" t="s">
        <v>129</v>
      </c>
      <c r="U9" s="12" t="s">
        <v>1080</v>
      </c>
      <c r="V9" s="20">
        <v>4</v>
      </c>
      <c r="W9" s="20">
        <v>4</v>
      </c>
      <c r="X9" s="20">
        <f t="shared" si="0"/>
        <v>16</v>
      </c>
      <c r="Y9" s="20" t="str">
        <f>INDEX(Risk_Model!$B$30:$B$33,MATCH(X9,Risk_Model!$A$30:$A$33,1))</f>
        <v>High</v>
      </c>
      <c r="Z9" s="20">
        <v>3</v>
      </c>
      <c r="AA9" s="12" t="s">
        <v>1081</v>
      </c>
      <c r="AB9" s="12" t="s">
        <v>1082</v>
      </c>
      <c r="AC9" s="12" t="s">
        <v>1083</v>
      </c>
      <c r="AD9" s="12" t="s">
        <v>1084</v>
      </c>
      <c r="AE9" s="12" t="s">
        <v>1085</v>
      </c>
      <c r="AF9" s="12" t="s">
        <v>1086</v>
      </c>
      <c r="AG9" s="12" t="s">
        <v>1051</v>
      </c>
    </row>
    <row r="10" spans="1:33" ht="62.5" x14ac:dyDescent="0.35">
      <c r="A10" s="17" t="s">
        <v>201</v>
      </c>
      <c r="B10" s="12" t="s">
        <v>66</v>
      </c>
      <c r="C10" s="12" t="s">
        <v>98</v>
      </c>
      <c r="D10" s="12" t="s">
        <v>202</v>
      </c>
      <c r="E10" s="12" t="s">
        <v>186</v>
      </c>
      <c r="F10" s="12" t="s">
        <v>1087</v>
      </c>
      <c r="G10" s="12" t="s">
        <v>1088</v>
      </c>
      <c r="H10" s="12" t="s">
        <v>1089</v>
      </c>
      <c r="I10" s="12" t="s">
        <v>203</v>
      </c>
      <c r="J10" s="12" t="s">
        <v>1090</v>
      </c>
      <c r="K10" s="12" t="s">
        <v>1091</v>
      </c>
      <c r="L10" s="12" t="s">
        <v>1092</v>
      </c>
      <c r="M10" s="20"/>
      <c r="N10" s="20" t="s">
        <v>1031</v>
      </c>
      <c r="O10" s="20"/>
      <c r="P10" s="20"/>
      <c r="Q10" s="20" t="s">
        <v>1031</v>
      </c>
      <c r="R10" s="20" t="s">
        <v>1031</v>
      </c>
      <c r="S10" s="20"/>
      <c r="T10" s="20" t="s">
        <v>129</v>
      </c>
      <c r="U10" s="12" t="s">
        <v>1093</v>
      </c>
      <c r="V10" s="20">
        <v>3</v>
      </c>
      <c r="W10" s="20">
        <v>3</v>
      </c>
      <c r="X10" s="20">
        <f t="shared" si="0"/>
        <v>9</v>
      </c>
      <c r="Y10" s="20" t="str">
        <f>INDEX(Risk_Model!$B$30:$B$33,MATCH(X10,Risk_Model!$A$30:$A$33,1))</f>
        <v>Medium</v>
      </c>
      <c r="Z10" s="20">
        <v>2</v>
      </c>
      <c r="AA10" s="12" t="s">
        <v>1094</v>
      </c>
      <c r="AB10" s="12" t="s">
        <v>1095</v>
      </c>
      <c r="AC10" s="12" t="s">
        <v>1096</v>
      </c>
      <c r="AD10" s="12" t="s">
        <v>1097</v>
      </c>
      <c r="AE10" s="12" t="s">
        <v>1085</v>
      </c>
      <c r="AF10" s="12" t="s">
        <v>1098</v>
      </c>
      <c r="AG10" s="12" t="s">
        <v>1051</v>
      </c>
    </row>
    <row r="11" spans="1:33" ht="87.5" x14ac:dyDescent="0.35">
      <c r="A11" s="17" t="s">
        <v>204</v>
      </c>
      <c r="B11" s="12" t="s">
        <v>66</v>
      </c>
      <c r="C11" s="12" t="s">
        <v>98</v>
      </c>
      <c r="D11" s="12" t="s">
        <v>205</v>
      </c>
      <c r="E11" s="12" t="s">
        <v>186</v>
      </c>
      <c r="F11" s="12" t="s">
        <v>1099</v>
      </c>
      <c r="G11" s="12" t="s">
        <v>1100</v>
      </c>
      <c r="H11" s="12" t="s">
        <v>1101</v>
      </c>
      <c r="I11" s="12" t="s">
        <v>206</v>
      </c>
      <c r="J11" s="12" t="s">
        <v>1028</v>
      </c>
      <c r="K11" s="12" t="s">
        <v>1102</v>
      </c>
      <c r="L11" s="12" t="s">
        <v>1103</v>
      </c>
      <c r="M11" s="20"/>
      <c r="N11" s="20"/>
      <c r="O11" s="20" t="s">
        <v>1031</v>
      </c>
      <c r="P11" s="20"/>
      <c r="Q11" s="20" t="s">
        <v>1031</v>
      </c>
      <c r="R11" s="20" t="s">
        <v>1031</v>
      </c>
      <c r="S11" s="20"/>
      <c r="T11" s="20" t="s">
        <v>129</v>
      </c>
      <c r="U11" s="12" t="s">
        <v>1104</v>
      </c>
      <c r="V11" s="20">
        <v>3</v>
      </c>
      <c r="W11" s="20">
        <v>4</v>
      </c>
      <c r="X11" s="20">
        <f t="shared" si="0"/>
        <v>12</v>
      </c>
      <c r="Y11" s="20" t="str">
        <f>INDEX(Risk_Model!$B$30:$B$33,MATCH(X11,Risk_Model!$A$30:$A$33,1))</f>
        <v>High</v>
      </c>
      <c r="Z11" s="20">
        <v>3</v>
      </c>
      <c r="AA11" s="12" t="s">
        <v>1105</v>
      </c>
      <c r="AB11" s="12" t="s">
        <v>1106</v>
      </c>
      <c r="AC11" s="12" t="s">
        <v>1107</v>
      </c>
      <c r="AD11" s="12" t="s">
        <v>1108</v>
      </c>
      <c r="AE11" s="12" t="s">
        <v>1085</v>
      </c>
      <c r="AF11" s="12" t="s">
        <v>1109</v>
      </c>
      <c r="AG11" s="12" t="s">
        <v>1110</v>
      </c>
    </row>
    <row r="12" spans="1:33" ht="75" x14ac:dyDescent="0.35">
      <c r="A12" s="17" t="s">
        <v>207</v>
      </c>
      <c r="B12" s="12" t="s">
        <v>66</v>
      </c>
      <c r="C12" s="12" t="s">
        <v>98</v>
      </c>
      <c r="D12" s="12" t="s">
        <v>208</v>
      </c>
      <c r="E12" s="12" t="s">
        <v>186</v>
      </c>
      <c r="F12" s="12" t="s">
        <v>1111</v>
      </c>
      <c r="G12" s="12" t="s">
        <v>1112</v>
      </c>
      <c r="H12" s="12" t="s">
        <v>1113</v>
      </c>
      <c r="I12" s="12" t="s">
        <v>209</v>
      </c>
      <c r="J12" s="12" t="s">
        <v>1028</v>
      </c>
      <c r="K12" s="12" t="s">
        <v>1114</v>
      </c>
      <c r="L12" s="12" t="s">
        <v>1115</v>
      </c>
      <c r="M12" s="20"/>
      <c r="N12" s="20"/>
      <c r="O12" s="20" t="s">
        <v>1031</v>
      </c>
      <c r="P12" s="20" t="s">
        <v>1031</v>
      </c>
      <c r="Q12" s="20" t="s">
        <v>1031</v>
      </c>
      <c r="R12" s="20"/>
      <c r="S12" s="20"/>
      <c r="T12" s="20" t="s">
        <v>129</v>
      </c>
      <c r="U12" s="12" t="s">
        <v>1116</v>
      </c>
      <c r="V12" s="20">
        <v>1</v>
      </c>
      <c r="W12" s="20">
        <v>2</v>
      </c>
      <c r="X12" s="20">
        <f t="shared" si="0"/>
        <v>2</v>
      </c>
      <c r="Y12" s="20" t="str">
        <f>INDEX(Risk_Model!$B$30:$B$33,MATCH(X12,Risk_Model!$A$30:$A$33,1))</f>
        <v>Low</v>
      </c>
      <c r="Z12" s="20">
        <v>1</v>
      </c>
      <c r="AA12" s="12" t="s">
        <v>1117</v>
      </c>
      <c r="AB12" s="12" t="s">
        <v>1118</v>
      </c>
      <c r="AC12" s="12" t="s">
        <v>1119</v>
      </c>
      <c r="AD12" s="12" t="s">
        <v>1120</v>
      </c>
      <c r="AE12" s="12" t="s">
        <v>1085</v>
      </c>
      <c r="AF12" s="12" t="s">
        <v>1121</v>
      </c>
      <c r="AG12" s="12" t="s">
        <v>1122</v>
      </c>
    </row>
    <row r="13" spans="1:33" ht="75" x14ac:dyDescent="0.35">
      <c r="A13" s="17" t="s">
        <v>210</v>
      </c>
      <c r="B13" s="12" t="s">
        <v>66</v>
      </c>
      <c r="C13" s="12" t="s">
        <v>98</v>
      </c>
      <c r="D13" s="12" t="s">
        <v>211</v>
      </c>
      <c r="E13" s="12" t="s">
        <v>186</v>
      </c>
      <c r="F13" s="12" t="s">
        <v>1123</v>
      </c>
      <c r="G13" s="12" t="s">
        <v>1124</v>
      </c>
      <c r="H13" s="12" t="s">
        <v>1125</v>
      </c>
      <c r="I13" s="12" t="s">
        <v>212</v>
      </c>
      <c r="J13" s="12" t="s">
        <v>1028</v>
      </c>
      <c r="K13" s="12" t="s">
        <v>1126</v>
      </c>
      <c r="L13" s="12" t="s">
        <v>1127</v>
      </c>
      <c r="M13" s="20"/>
      <c r="N13" s="20"/>
      <c r="O13" s="20" t="s">
        <v>1031</v>
      </c>
      <c r="P13" s="20"/>
      <c r="Q13" s="20" t="s">
        <v>1031</v>
      </c>
      <c r="R13" s="20" t="s">
        <v>1031</v>
      </c>
      <c r="S13" s="20"/>
      <c r="T13" s="20" t="s">
        <v>130</v>
      </c>
      <c r="U13" s="12" t="s">
        <v>1128</v>
      </c>
      <c r="V13" s="20">
        <v>2</v>
      </c>
      <c r="W13" s="20">
        <v>4</v>
      </c>
      <c r="X13" s="20">
        <f t="shared" si="0"/>
        <v>8</v>
      </c>
      <c r="Y13" s="20" t="str">
        <f>INDEX(Risk_Model!$B$30:$B$33,MATCH(X13,Risk_Model!$A$30:$A$33,1))</f>
        <v>Medium</v>
      </c>
      <c r="Z13" s="20">
        <v>2</v>
      </c>
      <c r="AA13" s="12" t="s">
        <v>1129</v>
      </c>
      <c r="AB13" s="12" t="s">
        <v>1130</v>
      </c>
      <c r="AC13" s="12" t="s">
        <v>1131</v>
      </c>
      <c r="AD13" s="12" t="s">
        <v>1132</v>
      </c>
      <c r="AE13" s="12" t="s">
        <v>1085</v>
      </c>
      <c r="AF13" s="12" t="s">
        <v>1133</v>
      </c>
      <c r="AG13" s="12" t="s">
        <v>1134</v>
      </c>
    </row>
    <row r="14" spans="1:33" ht="75" x14ac:dyDescent="0.35">
      <c r="A14" s="17" t="s">
        <v>213</v>
      </c>
      <c r="B14" s="12" t="s">
        <v>66</v>
      </c>
      <c r="C14" s="12" t="s">
        <v>98</v>
      </c>
      <c r="D14" s="12" t="s">
        <v>214</v>
      </c>
      <c r="E14" s="12" t="s">
        <v>186</v>
      </c>
      <c r="F14" s="12" t="s">
        <v>1135</v>
      </c>
      <c r="G14" s="12" t="s">
        <v>1136</v>
      </c>
      <c r="H14" s="12" t="s">
        <v>1137</v>
      </c>
      <c r="I14" s="12" t="s">
        <v>215</v>
      </c>
      <c r="J14" s="12" t="s">
        <v>1028</v>
      </c>
      <c r="K14" s="12" t="s">
        <v>1138</v>
      </c>
      <c r="L14" s="12" t="s">
        <v>1139</v>
      </c>
      <c r="M14" s="20" t="s">
        <v>1031</v>
      </c>
      <c r="N14" s="20" t="s">
        <v>1031</v>
      </c>
      <c r="O14" s="20"/>
      <c r="P14" s="20"/>
      <c r="Q14" s="20" t="s">
        <v>1031</v>
      </c>
      <c r="R14" s="20"/>
      <c r="S14" s="20"/>
      <c r="T14" s="20" t="s">
        <v>130</v>
      </c>
      <c r="U14" s="12" t="s">
        <v>1140</v>
      </c>
      <c r="V14" s="20">
        <v>3</v>
      </c>
      <c r="W14" s="20">
        <v>3</v>
      </c>
      <c r="X14" s="20">
        <f t="shared" si="0"/>
        <v>9</v>
      </c>
      <c r="Y14" s="20" t="str">
        <f>INDEX(Risk_Model!$B$30:$B$33,MATCH(X14,Risk_Model!$A$30:$A$33,1))</f>
        <v>Medium</v>
      </c>
      <c r="Z14" s="20">
        <v>2</v>
      </c>
      <c r="AA14" s="12" t="s">
        <v>1141</v>
      </c>
      <c r="AB14" s="12" t="s">
        <v>1142</v>
      </c>
      <c r="AC14" s="12" t="s">
        <v>1143</v>
      </c>
      <c r="AD14" s="12" t="s">
        <v>1144</v>
      </c>
      <c r="AE14" s="12" t="s">
        <v>1085</v>
      </c>
      <c r="AF14" s="12" t="s">
        <v>1145</v>
      </c>
      <c r="AG14" s="12" t="s">
        <v>1146</v>
      </c>
    </row>
    <row r="15" spans="1:33" ht="75" x14ac:dyDescent="0.35">
      <c r="A15" s="17" t="s">
        <v>216</v>
      </c>
      <c r="B15" s="12" t="s">
        <v>66</v>
      </c>
      <c r="C15" s="12" t="s">
        <v>98</v>
      </c>
      <c r="D15" s="12" t="s">
        <v>217</v>
      </c>
      <c r="E15" s="12" t="s">
        <v>186</v>
      </c>
      <c r="F15" s="12" t="s">
        <v>1147</v>
      </c>
      <c r="G15" s="12" t="s">
        <v>1148</v>
      </c>
      <c r="H15" s="12" t="s">
        <v>1149</v>
      </c>
      <c r="I15" s="12" t="s">
        <v>218</v>
      </c>
      <c r="J15" s="12" t="s">
        <v>1028</v>
      </c>
      <c r="K15" s="12" t="s">
        <v>1150</v>
      </c>
      <c r="L15" s="12" t="s">
        <v>1151</v>
      </c>
      <c r="M15" s="20"/>
      <c r="N15" s="20"/>
      <c r="O15" s="20" t="s">
        <v>1031</v>
      </c>
      <c r="P15" s="20"/>
      <c r="Q15" s="20" t="s">
        <v>1031</v>
      </c>
      <c r="R15" s="20" t="s">
        <v>1031</v>
      </c>
      <c r="S15" s="20"/>
      <c r="T15" s="20" t="s">
        <v>130</v>
      </c>
      <c r="U15" s="12" t="s">
        <v>1152</v>
      </c>
      <c r="V15" s="20">
        <v>3</v>
      </c>
      <c r="W15" s="20">
        <v>4</v>
      </c>
      <c r="X15" s="20">
        <f t="shared" si="0"/>
        <v>12</v>
      </c>
      <c r="Y15" s="20" t="str">
        <f>INDEX(Risk_Model!$B$30:$B$33,MATCH(X15,Risk_Model!$A$30:$A$33,1))</f>
        <v>High</v>
      </c>
      <c r="Z15" s="20">
        <v>2</v>
      </c>
      <c r="AA15" s="12" t="s">
        <v>1153</v>
      </c>
      <c r="AB15" s="12" t="s">
        <v>1154</v>
      </c>
      <c r="AC15" s="12" t="s">
        <v>1155</v>
      </c>
      <c r="AD15" s="12" t="s">
        <v>1156</v>
      </c>
      <c r="AE15" s="12" t="s">
        <v>1085</v>
      </c>
      <c r="AF15" s="12" t="s">
        <v>1157</v>
      </c>
      <c r="AG15" s="12" t="s">
        <v>1051</v>
      </c>
    </row>
    <row r="16" spans="1:33" ht="62.5" x14ac:dyDescent="0.35">
      <c r="A16" s="17" t="s">
        <v>219</v>
      </c>
      <c r="B16" s="12" t="s">
        <v>66</v>
      </c>
      <c r="C16" s="12" t="s">
        <v>99</v>
      </c>
      <c r="D16" s="12" t="s">
        <v>220</v>
      </c>
      <c r="E16" s="12" t="s">
        <v>186</v>
      </c>
      <c r="F16" s="12" t="s">
        <v>1158</v>
      </c>
      <c r="G16" s="12" t="s">
        <v>1159</v>
      </c>
      <c r="H16" s="12" t="s">
        <v>1160</v>
      </c>
      <c r="I16" s="12" t="s">
        <v>221</v>
      </c>
      <c r="J16" s="12" t="s">
        <v>1028</v>
      </c>
      <c r="K16" s="12" t="s">
        <v>1161</v>
      </c>
      <c r="L16" s="12" t="s">
        <v>1162</v>
      </c>
      <c r="M16" s="20" t="s">
        <v>1031</v>
      </c>
      <c r="N16" s="20" t="s">
        <v>1031</v>
      </c>
      <c r="O16" s="20"/>
      <c r="P16" s="20"/>
      <c r="Q16" s="20" t="s">
        <v>1031</v>
      </c>
      <c r="R16" s="20"/>
      <c r="S16" s="20"/>
      <c r="T16" s="20" t="s">
        <v>129</v>
      </c>
      <c r="U16" s="12" t="s">
        <v>1163</v>
      </c>
      <c r="V16" s="20">
        <v>4</v>
      </c>
      <c r="W16" s="20">
        <v>5</v>
      </c>
      <c r="X16" s="20">
        <f t="shared" si="0"/>
        <v>20</v>
      </c>
      <c r="Y16" s="20" t="str">
        <f>INDEX(Risk_Model!$B$30:$B$33,MATCH(X16,Risk_Model!$A$30:$A$33,1))</f>
        <v>Critical</v>
      </c>
      <c r="Z16" s="20">
        <v>3</v>
      </c>
      <c r="AA16" s="12" t="s">
        <v>1164</v>
      </c>
      <c r="AB16" s="12" t="s">
        <v>1165</v>
      </c>
      <c r="AC16" s="12" t="s">
        <v>1166</v>
      </c>
      <c r="AD16" s="12" t="s">
        <v>1167</v>
      </c>
      <c r="AE16" s="12" t="s">
        <v>1168</v>
      </c>
      <c r="AF16" s="12" t="s">
        <v>1169</v>
      </c>
      <c r="AG16" s="12" t="s">
        <v>1170</v>
      </c>
    </row>
    <row r="17" spans="1:33" ht="100" x14ac:dyDescent="0.35">
      <c r="A17" s="17" t="s">
        <v>222</v>
      </c>
      <c r="B17" s="12" t="s">
        <v>66</v>
      </c>
      <c r="C17" s="12" t="s">
        <v>99</v>
      </c>
      <c r="D17" s="12" t="s">
        <v>223</v>
      </c>
      <c r="E17" s="12" t="s">
        <v>186</v>
      </c>
      <c r="F17" s="12" t="s">
        <v>1171</v>
      </c>
      <c r="G17" s="12" t="s">
        <v>1172</v>
      </c>
      <c r="H17" s="12" t="s">
        <v>1173</v>
      </c>
      <c r="I17" s="12" t="s">
        <v>224</v>
      </c>
      <c r="J17" s="12" t="s">
        <v>1090</v>
      </c>
      <c r="K17" s="12" t="s">
        <v>1174</v>
      </c>
      <c r="L17" s="12" t="s">
        <v>1175</v>
      </c>
      <c r="M17" s="20"/>
      <c r="N17" s="20"/>
      <c r="O17" s="20" t="s">
        <v>1031</v>
      </c>
      <c r="P17" s="20"/>
      <c r="Q17" s="20" t="s">
        <v>1031</v>
      </c>
      <c r="R17" s="20" t="s">
        <v>1031</v>
      </c>
      <c r="S17" s="20"/>
      <c r="T17" s="20" t="s">
        <v>129</v>
      </c>
      <c r="U17" s="12" t="s">
        <v>1176</v>
      </c>
      <c r="V17" s="20">
        <v>4</v>
      </c>
      <c r="W17" s="20">
        <v>4</v>
      </c>
      <c r="X17" s="20">
        <f t="shared" si="0"/>
        <v>16</v>
      </c>
      <c r="Y17" s="20" t="str">
        <f>INDEX(Risk_Model!$B$30:$B$33,MATCH(X17,Risk_Model!$A$30:$A$33,1))</f>
        <v>High</v>
      </c>
      <c r="Z17" s="20">
        <v>3</v>
      </c>
      <c r="AA17" s="12" t="s">
        <v>1177</v>
      </c>
      <c r="AB17" s="12" t="s">
        <v>1178</v>
      </c>
      <c r="AC17" s="12" t="s">
        <v>1179</v>
      </c>
      <c r="AD17" s="12" t="s">
        <v>1180</v>
      </c>
      <c r="AE17" s="12" t="s">
        <v>1168</v>
      </c>
      <c r="AF17" s="12" t="s">
        <v>1181</v>
      </c>
      <c r="AG17" s="12" t="s">
        <v>1182</v>
      </c>
    </row>
    <row r="18" spans="1:33" ht="75" x14ac:dyDescent="0.35">
      <c r="A18" s="17" t="s">
        <v>225</v>
      </c>
      <c r="B18" s="12" t="s">
        <v>66</v>
      </c>
      <c r="C18" s="12" t="s">
        <v>99</v>
      </c>
      <c r="D18" s="12" t="s">
        <v>226</v>
      </c>
      <c r="E18" s="12" t="s">
        <v>186</v>
      </c>
      <c r="F18" s="12" t="s">
        <v>1183</v>
      </c>
      <c r="G18" s="12" t="s">
        <v>1184</v>
      </c>
      <c r="H18" s="12" t="s">
        <v>1185</v>
      </c>
      <c r="I18" s="12" t="s">
        <v>227</v>
      </c>
      <c r="J18" s="12" t="s">
        <v>1028</v>
      </c>
      <c r="K18" s="12" t="s">
        <v>1186</v>
      </c>
      <c r="L18" s="12" t="s">
        <v>1187</v>
      </c>
      <c r="M18" s="20"/>
      <c r="N18" s="20" t="s">
        <v>1031</v>
      </c>
      <c r="O18" s="20"/>
      <c r="P18" s="20"/>
      <c r="Q18" s="20" t="s">
        <v>1031</v>
      </c>
      <c r="R18" s="20" t="s">
        <v>1031</v>
      </c>
      <c r="S18" s="20"/>
      <c r="T18" s="20" t="s">
        <v>129</v>
      </c>
      <c r="U18" s="12" t="s">
        <v>1188</v>
      </c>
      <c r="V18" s="20">
        <v>4</v>
      </c>
      <c r="W18" s="20">
        <v>5</v>
      </c>
      <c r="X18" s="20">
        <f t="shared" si="0"/>
        <v>20</v>
      </c>
      <c r="Y18" s="20" t="str">
        <f>INDEX(Risk_Model!$B$30:$B$33,MATCH(X18,Risk_Model!$A$30:$A$33,1))</f>
        <v>Critical</v>
      </c>
      <c r="Z18" s="20">
        <v>3</v>
      </c>
      <c r="AA18" s="12" t="s">
        <v>1189</v>
      </c>
      <c r="AB18" s="12" t="s">
        <v>1190</v>
      </c>
      <c r="AC18" s="12" t="s">
        <v>1191</v>
      </c>
      <c r="AD18" s="12" t="s">
        <v>1192</v>
      </c>
      <c r="AE18" s="12" t="s">
        <v>1168</v>
      </c>
      <c r="AF18" s="12" t="s">
        <v>1193</v>
      </c>
      <c r="AG18" s="12" t="s">
        <v>1194</v>
      </c>
    </row>
    <row r="19" spans="1:33" ht="75" x14ac:dyDescent="0.35">
      <c r="A19" s="17" t="s">
        <v>228</v>
      </c>
      <c r="B19" s="12" t="s">
        <v>66</v>
      </c>
      <c r="C19" s="12" t="s">
        <v>99</v>
      </c>
      <c r="D19" s="12" t="s">
        <v>229</v>
      </c>
      <c r="E19" s="12" t="s">
        <v>186</v>
      </c>
      <c r="F19" s="12" t="s">
        <v>1195</v>
      </c>
      <c r="G19" s="12" t="s">
        <v>1196</v>
      </c>
      <c r="H19" s="12" t="s">
        <v>1197</v>
      </c>
      <c r="I19" s="12" t="s">
        <v>230</v>
      </c>
      <c r="J19" s="12" t="s">
        <v>1198</v>
      </c>
      <c r="K19" s="12" t="s">
        <v>1199</v>
      </c>
      <c r="L19" s="12" t="s">
        <v>1200</v>
      </c>
      <c r="M19" s="20" t="s">
        <v>1031</v>
      </c>
      <c r="N19" s="20" t="s">
        <v>1031</v>
      </c>
      <c r="O19" s="20"/>
      <c r="P19" s="20"/>
      <c r="Q19" s="20" t="s">
        <v>1031</v>
      </c>
      <c r="R19" s="20"/>
      <c r="S19" s="20"/>
      <c r="T19" s="20" t="s">
        <v>130</v>
      </c>
      <c r="U19" s="12" t="s">
        <v>1201</v>
      </c>
      <c r="V19" s="20">
        <v>4</v>
      </c>
      <c r="W19" s="20">
        <v>5</v>
      </c>
      <c r="X19" s="20">
        <f t="shared" si="0"/>
        <v>20</v>
      </c>
      <c r="Y19" s="20" t="str">
        <f>INDEX(Risk_Model!$B$30:$B$33,MATCH(X19,Risk_Model!$A$30:$A$33,1))</f>
        <v>Critical</v>
      </c>
      <c r="Z19" s="20">
        <v>3</v>
      </c>
      <c r="AA19" s="12" t="s">
        <v>1202</v>
      </c>
      <c r="AB19" s="12" t="s">
        <v>1203</v>
      </c>
      <c r="AC19" s="12" t="s">
        <v>1204</v>
      </c>
      <c r="AD19" s="12" t="s">
        <v>1205</v>
      </c>
      <c r="AE19" s="12" t="s">
        <v>1168</v>
      </c>
      <c r="AF19" s="12" t="s">
        <v>1206</v>
      </c>
      <c r="AG19" s="12" t="s">
        <v>1207</v>
      </c>
    </row>
    <row r="20" spans="1:33" ht="75" x14ac:dyDescent="0.35">
      <c r="A20" s="17" t="s">
        <v>231</v>
      </c>
      <c r="B20" s="12" t="s">
        <v>66</v>
      </c>
      <c r="C20" s="12" t="s">
        <v>99</v>
      </c>
      <c r="D20" s="12" t="s">
        <v>232</v>
      </c>
      <c r="E20" s="12" t="s">
        <v>186</v>
      </c>
      <c r="F20" s="12" t="s">
        <v>1208</v>
      </c>
      <c r="G20" s="12" t="s">
        <v>1209</v>
      </c>
      <c r="H20" s="12" t="s">
        <v>1210</v>
      </c>
      <c r="I20" s="12" t="s">
        <v>233</v>
      </c>
      <c r="J20" s="12" t="s">
        <v>1028</v>
      </c>
      <c r="K20" s="12" t="s">
        <v>1211</v>
      </c>
      <c r="L20" s="12" t="s">
        <v>1212</v>
      </c>
      <c r="M20" s="20"/>
      <c r="N20" s="20"/>
      <c r="O20" s="20" t="s">
        <v>1031</v>
      </c>
      <c r="P20" s="20"/>
      <c r="Q20" s="20" t="s">
        <v>1031</v>
      </c>
      <c r="R20" s="20" t="s">
        <v>1031</v>
      </c>
      <c r="S20" s="20"/>
      <c r="T20" s="20" t="s">
        <v>130</v>
      </c>
      <c r="U20" s="12" t="s">
        <v>1213</v>
      </c>
      <c r="V20" s="20">
        <v>3</v>
      </c>
      <c r="W20" s="20">
        <v>5</v>
      </c>
      <c r="X20" s="20">
        <f t="shared" si="0"/>
        <v>15</v>
      </c>
      <c r="Y20" s="20" t="str">
        <f>INDEX(Risk_Model!$B$30:$B$33,MATCH(X20,Risk_Model!$A$30:$A$33,1))</f>
        <v>High</v>
      </c>
      <c r="Z20" s="20">
        <v>2</v>
      </c>
      <c r="AA20" s="12" t="s">
        <v>1214</v>
      </c>
      <c r="AB20" s="12" t="s">
        <v>1215</v>
      </c>
      <c r="AC20" s="12" t="s">
        <v>1216</v>
      </c>
      <c r="AD20" s="12" t="s">
        <v>1217</v>
      </c>
      <c r="AE20" s="12" t="s">
        <v>1168</v>
      </c>
      <c r="AF20" s="12" t="s">
        <v>1218</v>
      </c>
      <c r="AG20" s="12" t="s">
        <v>1051</v>
      </c>
    </row>
    <row r="21" spans="1:33" ht="75" x14ac:dyDescent="0.35">
      <c r="A21" s="17" t="s">
        <v>234</v>
      </c>
      <c r="B21" s="12" t="s">
        <v>66</v>
      </c>
      <c r="C21" s="12" t="s">
        <v>100</v>
      </c>
      <c r="D21" s="12" t="s">
        <v>235</v>
      </c>
      <c r="E21" s="12" t="s">
        <v>186</v>
      </c>
      <c r="F21" s="12" t="s">
        <v>1219</v>
      </c>
      <c r="G21" s="12" t="s">
        <v>1220</v>
      </c>
      <c r="H21" s="12" t="s">
        <v>1221</v>
      </c>
      <c r="I21" s="12" t="s">
        <v>236</v>
      </c>
      <c r="J21" s="12" t="s">
        <v>1090</v>
      </c>
      <c r="K21" s="12" t="s">
        <v>1222</v>
      </c>
      <c r="L21" s="12" t="s">
        <v>1223</v>
      </c>
      <c r="M21" s="20"/>
      <c r="N21" s="20"/>
      <c r="O21" s="20" t="s">
        <v>1031</v>
      </c>
      <c r="P21" s="20"/>
      <c r="Q21" s="20" t="s">
        <v>1031</v>
      </c>
      <c r="R21" s="20" t="s">
        <v>1031</v>
      </c>
      <c r="S21" s="20"/>
      <c r="T21" s="20" t="s">
        <v>129</v>
      </c>
      <c r="U21" s="12" t="s">
        <v>1224</v>
      </c>
      <c r="V21" s="20">
        <v>4</v>
      </c>
      <c r="W21" s="20">
        <v>4</v>
      </c>
      <c r="X21" s="20">
        <f t="shared" si="0"/>
        <v>16</v>
      </c>
      <c r="Y21" s="20" t="str">
        <f>INDEX(Risk_Model!$B$30:$B$33,MATCH(X21,Risk_Model!$A$30:$A$33,1))</f>
        <v>High</v>
      </c>
      <c r="Z21" s="20">
        <v>3</v>
      </c>
      <c r="AA21" s="12" t="s">
        <v>1225</v>
      </c>
      <c r="AB21" s="12" t="s">
        <v>1226</v>
      </c>
      <c r="AC21" s="12" t="s">
        <v>1227</v>
      </c>
      <c r="AD21" s="12" t="s">
        <v>1228</v>
      </c>
      <c r="AE21" s="12" t="s">
        <v>1229</v>
      </c>
      <c r="AF21" s="12" t="s">
        <v>1230</v>
      </c>
      <c r="AG21" s="12" t="s">
        <v>1231</v>
      </c>
    </row>
    <row r="22" spans="1:33" ht="75" x14ac:dyDescent="0.35">
      <c r="A22" s="17" t="s">
        <v>237</v>
      </c>
      <c r="B22" s="12" t="s">
        <v>66</v>
      </c>
      <c r="C22" s="12" t="s">
        <v>100</v>
      </c>
      <c r="D22" s="12" t="s">
        <v>238</v>
      </c>
      <c r="E22" s="12" t="s">
        <v>186</v>
      </c>
      <c r="F22" s="12" t="s">
        <v>1232</v>
      </c>
      <c r="G22" s="12" t="s">
        <v>1233</v>
      </c>
      <c r="H22" s="12" t="s">
        <v>1234</v>
      </c>
      <c r="I22" s="12" t="s">
        <v>239</v>
      </c>
      <c r="J22" s="12" t="s">
        <v>1090</v>
      </c>
      <c r="K22" s="12" t="s">
        <v>1235</v>
      </c>
      <c r="L22" s="12" t="s">
        <v>1236</v>
      </c>
      <c r="M22" s="20"/>
      <c r="N22" s="20"/>
      <c r="O22" s="20" t="s">
        <v>1031</v>
      </c>
      <c r="P22" s="20"/>
      <c r="Q22" s="20" t="s">
        <v>1031</v>
      </c>
      <c r="R22" s="20" t="s">
        <v>1031</v>
      </c>
      <c r="S22" s="20"/>
      <c r="T22" s="20" t="s">
        <v>129</v>
      </c>
      <c r="U22" s="12" t="s">
        <v>1237</v>
      </c>
      <c r="V22" s="20">
        <v>4</v>
      </c>
      <c r="W22" s="20">
        <v>5</v>
      </c>
      <c r="X22" s="20">
        <f t="shared" si="0"/>
        <v>20</v>
      </c>
      <c r="Y22" s="20" t="str">
        <f>INDEX(Risk_Model!$B$30:$B$33,MATCH(X22,Risk_Model!$A$30:$A$33,1))</f>
        <v>Critical</v>
      </c>
      <c r="Z22" s="20">
        <v>3</v>
      </c>
      <c r="AA22" s="12" t="s">
        <v>1238</v>
      </c>
      <c r="AB22" s="12" t="s">
        <v>1239</v>
      </c>
      <c r="AC22" s="12" t="s">
        <v>1240</v>
      </c>
      <c r="AD22" s="12" t="s">
        <v>1241</v>
      </c>
      <c r="AE22" s="12" t="s">
        <v>1229</v>
      </c>
      <c r="AF22" s="12" t="s">
        <v>1242</v>
      </c>
      <c r="AG22" s="12" t="s">
        <v>1243</v>
      </c>
    </row>
    <row r="23" spans="1:33" ht="62.5" x14ac:dyDescent="0.35">
      <c r="A23" s="17" t="s">
        <v>240</v>
      </c>
      <c r="B23" s="12" t="s">
        <v>66</v>
      </c>
      <c r="C23" s="12" t="s">
        <v>100</v>
      </c>
      <c r="D23" s="12" t="s">
        <v>241</v>
      </c>
      <c r="E23" s="12" t="s">
        <v>186</v>
      </c>
      <c r="F23" s="12" t="s">
        <v>1244</v>
      </c>
      <c r="G23" s="12" t="s">
        <v>1245</v>
      </c>
      <c r="H23" s="12" t="s">
        <v>1246</v>
      </c>
      <c r="I23" s="12" t="s">
        <v>242</v>
      </c>
      <c r="J23" s="12" t="s">
        <v>1090</v>
      </c>
      <c r="K23" s="12" t="s">
        <v>1247</v>
      </c>
      <c r="L23" s="12" t="s">
        <v>1248</v>
      </c>
      <c r="M23" s="20"/>
      <c r="N23" s="20" t="s">
        <v>1031</v>
      </c>
      <c r="O23" s="20" t="s">
        <v>1031</v>
      </c>
      <c r="P23" s="20"/>
      <c r="Q23" s="20" t="s">
        <v>1031</v>
      </c>
      <c r="R23" s="20"/>
      <c r="S23" s="20"/>
      <c r="T23" s="20" t="s">
        <v>129</v>
      </c>
      <c r="U23" s="12" t="s">
        <v>1249</v>
      </c>
      <c r="V23" s="20">
        <v>3</v>
      </c>
      <c r="W23" s="20">
        <v>3</v>
      </c>
      <c r="X23" s="20">
        <f t="shared" si="0"/>
        <v>9</v>
      </c>
      <c r="Y23" s="20" t="str">
        <f>INDEX(Risk_Model!$B$30:$B$33,MATCH(X23,Risk_Model!$A$30:$A$33,1))</f>
        <v>Medium</v>
      </c>
      <c r="Z23" s="20">
        <v>2</v>
      </c>
      <c r="AA23" s="12" t="s">
        <v>1250</v>
      </c>
      <c r="AB23" s="12" t="s">
        <v>1251</v>
      </c>
      <c r="AC23" s="12" t="s">
        <v>1252</v>
      </c>
      <c r="AD23" s="12" t="s">
        <v>1253</v>
      </c>
      <c r="AE23" s="12" t="s">
        <v>1229</v>
      </c>
      <c r="AF23" s="12" t="s">
        <v>1254</v>
      </c>
      <c r="AG23" s="12" t="s">
        <v>1255</v>
      </c>
    </row>
    <row r="24" spans="1:33" ht="75" x14ac:dyDescent="0.35">
      <c r="A24" s="17" t="s">
        <v>243</v>
      </c>
      <c r="B24" s="12" t="s">
        <v>66</v>
      </c>
      <c r="C24" s="12" t="s">
        <v>100</v>
      </c>
      <c r="D24" s="12" t="s">
        <v>244</v>
      </c>
      <c r="E24" s="12" t="s">
        <v>186</v>
      </c>
      <c r="F24" s="12" t="s">
        <v>1256</v>
      </c>
      <c r="G24" s="12" t="s">
        <v>1257</v>
      </c>
      <c r="H24" s="12" t="s">
        <v>1258</v>
      </c>
      <c r="I24" s="12" t="s">
        <v>245</v>
      </c>
      <c r="J24" s="12" t="s">
        <v>1028</v>
      </c>
      <c r="K24" s="12" t="s">
        <v>1259</v>
      </c>
      <c r="L24" s="12" t="s">
        <v>1260</v>
      </c>
      <c r="M24" s="20"/>
      <c r="N24" s="20"/>
      <c r="O24" s="20" t="s">
        <v>1031</v>
      </c>
      <c r="P24" s="20"/>
      <c r="Q24" s="20" t="s">
        <v>1031</v>
      </c>
      <c r="R24" s="20" t="s">
        <v>1031</v>
      </c>
      <c r="S24" s="20"/>
      <c r="T24" s="20" t="s">
        <v>130</v>
      </c>
      <c r="U24" s="12" t="s">
        <v>1261</v>
      </c>
      <c r="V24" s="20">
        <v>3</v>
      </c>
      <c r="W24" s="20">
        <v>4</v>
      </c>
      <c r="X24" s="20">
        <f t="shared" si="0"/>
        <v>12</v>
      </c>
      <c r="Y24" s="20" t="str">
        <f>INDEX(Risk_Model!$B$30:$B$33,MATCH(X24,Risk_Model!$A$30:$A$33,1))</f>
        <v>High</v>
      </c>
      <c r="Z24" s="20">
        <v>2</v>
      </c>
      <c r="AA24" s="12" t="s">
        <v>1262</v>
      </c>
      <c r="AB24" s="12" t="s">
        <v>1263</v>
      </c>
      <c r="AC24" s="12" t="s">
        <v>1264</v>
      </c>
      <c r="AD24" s="12" t="s">
        <v>1265</v>
      </c>
      <c r="AE24" s="12" t="s">
        <v>1229</v>
      </c>
      <c r="AF24" s="12" t="s">
        <v>1266</v>
      </c>
      <c r="AG24" s="12" t="s">
        <v>1267</v>
      </c>
    </row>
    <row r="25" spans="1:33" ht="62.5" x14ac:dyDescent="0.35">
      <c r="A25" s="17" t="s">
        <v>246</v>
      </c>
      <c r="B25" s="12" t="s">
        <v>66</v>
      </c>
      <c r="C25" s="12" t="s">
        <v>100</v>
      </c>
      <c r="D25" s="12" t="s">
        <v>247</v>
      </c>
      <c r="E25" s="12" t="s">
        <v>186</v>
      </c>
      <c r="F25" s="12" t="s">
        <v>1268</v>
      </c>
      <c r="G25" s="12" t="s">
        <v>1269</v>
      </c>
      <c r="H25" s="12" t="s">
        <v>1270</v>
      </c>
      <c r="I25" s="12" t="s">
        <v>248</v>
      </c>
      <c r="J25" s="12" t="s">
        <v>1090</v>
      </c>
      <c r="K25" s="12" t="s">
        <v>1271</v>
      </c>
      <c r="L25" s="12" t="s">
        <v>1272</v>
      </c>
      <c r="M25" s="20" t="s">
        <v>1031</v>
      </c>
      <c r="N25" s="20" t="s">
        <v>1031</v>
      </c>
      <c r="O25" s="20"/>
      <c r="P25" s="20"/>
      <c r="Q25" s="20" t="s">
        <v>1031</v>
      </c>
      <c r="R25" s="20"/>
      <c r="S25" s="20"/>
      <c r="T25" s="20" t="s">
        <v>130</v>
      </c>
      <c r="U25" s="12" t="s">
        <v>1273</v>
      </c>
      <c r="V25" s="20">
        <v>3</v>
      </c>
      <c r="W25" s="20">
        <v>4</v>
      </c>
      <c r="X25" s="20">
        <f t="shared" si="0"/>
        <v>12</v>
      </c>
      <c r="Y25" s="20" t="str">
        <f>INDEX(Risk_Model!$B$30:$B$33,MATCH(X25,Risk_Model!$A$30:$A$33,1))</f>
        <v>High</v>
      </c>
      <c r="Z25" s="20">
        <v>3</v>
      </c>
      <c r="AA25" s="12" t="s">
        <v>1274</v>
      </c>
      <c r="AB25" s="12" t="s">
        <v>1275</v>
      </c>
      <c r="AC25" s="12" t="s">
        <v>1276</v>
      </c>
      <c r="AD25" s="12" t="s">
        <v>1277</v>
      </c>
      <c r="AE25" s="12" t="s">
        <v>1229</v>
      </c>
      <c r="AF25" s="12" t="s">
        <v>1278</v>
      </c>
      <c r="AG25" s="12" t="s">
        <v>1279</v>
      </c>
    </row>
    <row r="26" spans="1:33" ht="87.5" x14ac:dyDescent="0.35">
      <c r="A26" s="17" t="s">
        <v>249</v>
      </c>
      <c r="B26" s="12" t="s">
        <v>66</v>
      </c>
      <c r="C26" s="12" t="s">
        <v>100</v>
      </c>
      <c r="D26" s="12" t="s">
        <v>250</v>
      </c>
      <c r="E26" s="12" t="s">
        <v>186</v>
      </c>
      <c r="F26" s="12" t="s">
        <v>1280</v>
      </c>
      <c r="G26" s="12" t="s">
        <v>1281</v>
      </c>
      <c r="H26" s="12" t="s">
        <v>1282</v>
      </c>
      <c r="I26" s="12" t="s">
        <v>251</v>
      </c>
      <c r="J26" s="12" t="s">
        <v>1028</v>
      </c>
      <c r="K26" s="12" t="s">
        <v>1283</v>
      </c>
      <c r="L26" s="12" t="s">
        <v>1284</v>
      </c>
      <c r="M26" s="20"/>
      <c r="N26" s="20"/>
      <c r="O26" s="20" t="s">
        <v>1031</v>
      </c>
      <c r="P26" s="20"/>
      <c r="Q26" s="20" t="s">
        <v>1031</v>
      </c>
      <c r="R26" s="20" t="s">
        <v>1031</v>
      </c>
      <c r="S26" s="20"/>
      <c r="T26" s="20" t="s">
        <v>129</v>
      </c>
      <c r="U26" s="12" t="s">
        <v>1285</v>
      </c>
      <c r="V26" s="20">
        <v>2</v>
      </c>
      <c r="W26" s="20">
        <v>3</v>
      </c>
      <c r="X26" s="20">
        <f t="shared" si="0"/>
        <v>6</v>
      </c>
      <c r="Y26" s="20" t="str">
        <f>INDEX(Risk_Model!$B$30:$B$33,MATCH(X26,Risk_Model!$A$30:$A$33,1))</f>
        <v>Medium</v>
      </c>
      <c r="Z26" s="20">
        <v>2</v>
      </c>
      <c r="AA26" s="12" t="s">
        <v>1286</v>
      </c>
      <c r="AB26" s="12" t="s">
        <v>1287</v>
      </c>
      <c r="AC26" s="12" t="s">
        <v>1288</v>
      </c>
      <c r="AD26" s="12" t="s">
        <v>1289</v>
      </c>
      <c r="AE26" s="12" t="s">
        <v>1229</v>
      </c>
      <c r="AF26" s="12" t="s">
        <v>1290</v>
      </c>
      <c r="AG26" s="12" t="s">
        <v>1291</v>
      </c>
    </row>
    <row r="27" spans="1:33" ht="75" x14ac:dyDescent="0.35">
      <c r="A27" s="17" t="s">
        <v>252</v>
      </c>
      <c r="B27" s="12" t="s">
        <v>66</v>
      </c>
      <c r="C27" s="12" t="s">
        <v>101</v>
      </c>
      <c r="D27" s="12" t="s">
        <v>253</v>
      </c>
      <c r="E27" s="12" t="s">
        <v>186</v>
      </c>
      <c r="F27" s="12" t="s">
        <v>1292</v>
      </c>
      <c r="G27" s="12" t="s">
        <v>1293</v>
      </c>
      <c r="H27" s="12" t="s">
        <v>1294</v>
      </c>
      <c r="I27" s="12" t="s">
        <v>254</v>
      </c>
      <c r="J27" s="12" t="s">
        <v>1028</v>
      </c>
      <c r="K27" s="12" t="s">
        <v>1295</v>
      </c>
      <c r="L27" s="12" t="s">
        <v>1296</v>
      </c>
      <c r="M27" s="20"/>
      <c r="N27" s="20"/>
      <c r="O27" s="20" t="s">
        <v>1031</v>
      </c>
      <c r="P27" s="20"/>
      <c r="Q27" s="20" t="s">
        <v>1031</v>
      </c>
      <c r="R27" s="20" t="s">
        <v>1031</v>
      </c>
      <c r="S27" s="20"/>
      <c r="T27" s="20" t="s">
        <v>129</v>
      </c>
      <c r="U27" s="12" t="s">
        <v>1297</v>
      </c>
      <c r="V27" s="20">
        <v>3</v>
      </c>
      <c r="W27" s="20">
        <v>5</v>
      </c>
      <c r="X27" s="20">
        <f t="shared" si="0"/>
        <v>15</v>
      </c>
      <c r="Y27" s="20" t="str">
        <f>INDEX(Risk_Model!$B$30:$B$33,MATCH(X27,Risk_Model!$A$30:$A$33,1))</f>
        <v>High</v>
      </c>
      <c r="Z27" s="20">
        <v>3</v>
      </c>
      <c r="AA27" s="12" t="s">
        <v>1298</v>
      </c>
      <c r="AB27" s="12" t="s">
        <v>1299</v>
      </c>
      <c r="AC27" s="12" t="s">
        <v>1300</v>
      </c>
      <c r="AD27" s="12" t="s">
        <v>1301</v>
      </c>
      <c r="AE27" s="12" t="s">
        <v>1302</v>
      </c>
      <c r="AF27" s="12" t="s">
        <v>1303</v>
      </c>
      <c r="AG27" s="12" t="s">
        <v>1304</v>
      </c>
    </row>
    <row r="28" spans="1:33" ht="75" x14ac:dyDescent="0.35">
      <c r="A28" s="17" t="s">
        <v>255</v>
      </c>
      <c r="B28" s="12" t="s">
        <v>66</v>
      </c>
      <c r="C28" s="12" t="s">
        <v>101</v>
      </c>
      <c r="D28" s="12" t="s">
        <v>256</v>
      </c>
      <c r="E28" s="12" t="s">
        <v>186</v>
      </c>
      <c r="F28" s="12" t="s">
        <v>1305</v>
      </c>
      <c r="G28" s="12" t="s">
        <v>1306</v>
      </c>
      <c r="H28" s="12" t="s">
        <v>1307</v>
      </c>
      <c r="I28" s="12" t="s">
        <v>257</v>
      </c>
      <c r="J28" s="12" t="s">
        <v>1028</v>
      </c>
      <c r="K28" s="12" t="s">
        <v>1308</v>
      </c>
      <c r="L28" s="12" t="s">
        <v>1309</v>
      </c>
      <c r="M28" s="20"/>
      <c r="N28" s="20"/>
      <c r="O28" s="20" t="s">
        <v>1031</v>
      </c>
      <c r="P28" s="20"/>
      <c r="Q28" s="20" t="s">
        <v>1031</v>
      </c>
      <c r="R28" s="20" t="s">
        <v>1031</v>
      </c>
      <c r="S28" s="20"/>
      <c r="T28" s="20" t="s">
        <v>129</v>
      </c>
      <c r="U28" s="12" t="s">
        <v>1310</v>
      </c>
      <c r="V28" s="20">
        <v>3</v>
      </c>
      <c r="W28" s="20">
        <v>4</v>
      </c>
      <c r="X28" s="20">
        <f t="shared" si="0"/>
        <v>12</v>
      </c>
      <c r="Y28" s="20" t="str">
        <f>INDEX(Risk_Model!$B$30:$B$33,MATCH(X28,Risk_Model!$A$30:$A$33,1))</f>
        <v>High</v>
      </c>
      <c r="Z28" s="20">
        <v>3</v>
      </c>
      <c r="AA28" s="12" t="s">
        <v>1311</v>
      </c>
      <c r="AB28" s="12" t="s">
        <v>1312</v>
      </c>
      <c r="AC28" s="12" t="s">
        <v>1313</v>
      </c>
      <c r="AD28" s="12" t="s">
        <v>1314</v>
      </c>
      <c r="AE28" s="12" t="s">
        <v>1302</v>
      </c>
      <c r="AF28" s="12" t="s">
        <v>1315</v>
      </c>
      <c r="AG28" s="12" t="s">
        <v>1316</v>
      </c>
    </row>
    <row r="29" spans="1:33" ht="62.5" x14ac:dyDescent="0.35">
      <c r="A29" s="17" t="s">
        <v>258</v>
      </c>
      <c r="B29" s="12" t="s">
        <v>66</v>
      </c>
      <c r="C29" s="12" t="s">
        <v>101</v>
      </c>
      <c r="D29" s="12" t="s">
        <v>259</v>
      </c>
      <c r="E29" s="12" t="s">
        <v>186</v>
      </c>
      <c r="F29" s="12" t="s">
        <v>1317</v>
      </c>
      <c r="G29" s="12" t="s">
        <v>1318</v>
      </c>
      <c r="H29" s="12" t="s">
        <v>1319</v>
      </c>
      <c r="I29" s="12" t="s">
        <v>260</v>
      </c>
      <c r="J29" s="12" t="s">
        <v>1028</v>
      </c>
      <c r="K29" s="12" t="s">
        <v>1320</v>
      </c>
      <c r="L29" s="12" t="s">
        <v>1321</v>
      </c>
      <c r="M29" s="20"/>
      <c r="N29" s="20"/>
      <c r="O29" s="20" t="s">
        <v>1031</v>
      </c>
      <c r="P29" s="20"/>
      <c r="Q29" s="20" t="s">
        <v>1031</v>
      </c>
      <c r="R29" s="20" t="s">
        <v>1031</v>
      </c>
      <c r="S29" s="20"/>
      <c r="T29" s="20" t="s">
        <v>130</v>
      </c>
      <c r="U29" s="12" t="s">
        <v>1322</v>
      </c>
      <c r="V29" s="20">
        <v>3</v>
      </c>
      <c r="W29" s="20">
        <v>4</v>
      </c>
      <c r="X29" s="20">
        <f t="shared" si="0"/>
        <v>12</v>
      </c>
      <c r="Y29" s="20" t="str">
        <f>INDEX(Risk_Model!$B$30:$B$33,MATCH(X29,Risk_Model!$A$30:$A$33,1))</f>
        <v>High</v>
      </c>
      <c r="Z29" s="20">
        <v>2</v>
      </c>
      <c r="AA29" s="12" t="s">
        <v>1323</v>
      </c>
      <c r="AB29" s="12" t="s">
        <v>1324</v>
      </c>
      <c r="AC29" s="12" t="s">
        <v>1325</v>
      </c>
      <c r="AD29" s="12" t="s">
        <v>1326</v>
      </c>
      <c r="AE29" s="12" t="s">
        <v>1302</v>
      </c>
      <c r="AF29" s="12" t="s">
        <v>1327</v>
      </c>
      <c r="AG29" s="12" t="s">
        <v>1328</v>
      </c>
    </row>
    <row r="30" spans="1:33" ht="75" x14ac:dyDescent="0.35">
      <c r="A30" s="17" t="s">
        <v>261</v>
      </c>
      <c r="B30" s="12" t="s">
        <v>66</v>
      </c>
      <c r="C30" s="12" t="s">
        <v>101</v>
      </c>
      <c r="D30" s="12" t="s">
        <v>262</v>
      </c>
      <c r="E30" s="12" t="s">
        <v>186</v>
      </c>
      <c r="F30" s="12" t="s">
        <v>1329</v>
      </c>
      <c r="G30" s="12" t="s">
        <v>1330</v>
      </c>
      <c r="H30" s="12" t="s">
        <v>1331</v>
      </c>
      <c r="I30" s="12" t="s">
        <v>263</v>
      </c>
      <c r="J30" s="12" t="s">
        <v>1090</v>
      </c>
      <c r="K30" s="12" t="s">
        <v>1332</v>
      </c>
      <c r="L30" s="12" t="s">
        <v>1333</v>
      </c>
      <c r="M30" s="20"/>
      <c r="N30" s="20"/>
      <c r="O30" s="20"/>
      <c r="P30" s="20"/>
      <c r="Q30" s="20" t="s">
        <v>1031</v>
      </c>
      <c r="R30" s="20" t="s">
        <v>1031</v>
      </c>
      <c r="S30" s="20"/>
      <c r="T30" s="20" t="s">
        <v>130</v>
      </c>
      <c r="U30" s="12" t="s">
        <v>1334</v>
      </c>
      <c r="V30" s="20">
        <v>3</v>
      </c>
      <c r="W30" s="20">
        <v>4</v>
      </c>
      <c r="X30" s="20">
        <f t="shared" si="0"/>
        <v>12</v>
      </c>
      <c r="Y30" s="20" t="str">
        <f>INDEX(Risk_Model!$B$30:$B$33,MATCH(X30,Risk_Model!$A$30:$A$33,1))</f>
        <v>High</v>
      </c>
      <c r="Z30" s="20">
        <v>2</v>
      </c>
      <c r="AA30" s="12" t="s">
        <v>1335</v>
      </c>
      <c r="AB30" s="12" t="s">
        <v>1336</v>
      </c>
      <c r="AC30" s="12" t="s">
        <v>1337</v>
      </c>
      <c r="AD30" s="12" t="s">
        <v>1338</v>
      </c>
      <c r="AE30" s="12" t="s">
        <v>1302</v>
      </c>
      <c r="AF30" s="12" t="s">
        <v>1339</v>
      </c>
      <c r="AG30" s="12" t="s">
        <v>1340</v>
      </c>
    </row>
    <row r="31" spans="1:33" ht="62.5" x14ac:dyDescent="0.35">
      <c r="A31" s="17" t="s">
        <v>264</v>
      </c>
      <c r="B31" s="12" t="s">
        <v>66</v>
      </c>
      <c r="C31" s="12" t="s">
        <v>102</v>
      </c>
      <c r="D31" s="12" t="s">
        <v>265</v>
      </c>
      <c r="E31" s="12" t="s">
        <v>186</v>
      </c>
      <c r="F31" s="12" t="s">
        <v>1341</v>
      </c>
      <c r="G31" s="12" t="s">
        <v>1342</v>
      </c>
      <c r="H31" s="12" t="s">
        <v>1343</v>
      </c>
      <c r="I31" s="12" t="s">
        <v>266</v>
      </c>
      <c r="J31" s="12" t="s">
        <v>1028</v>
      </c>
      <c r="K31" s="12" t="s">
        <v>1344</v>
      </c>
      <c r="L31" s="12" t="s">
        <v>1345</v>
      </c>
      <c r="M31" s="20"/>
      <c r="N31" s="20" t="s">
        <v>1031</v>
      </c>
      <c r="O31" s="20"/>
      <c r="P31" s="20"/>
      <c r="Q31" s="20" t="s">
        <v>1031</v>
      </c>
      <c r="R31" s="20"/>
      <c r="S31" s="20"/>
      <c r="T31" s="20" t="s">
        <v>129</v>
      </c>
      <c r="U31" s="12" t="s">
        <v>1346</v>
      </c>
      <c r="V31" s="20">
        <v>3</v>
      </c>
      <c r="W31" s="20">
        <v>4</v>
      </c>
      <c r="X31" s="20">
        <f t="shared" si="0"/>
        <v>12</v>
      </c>
      <c r="Y31" s="20" t="str">
        <f>INDEX(Risk_Model!$B$30:$B$33,MATCH(X31,Risk_Model!$A$30:$A$33,1))</f>
        <v>High</v>
      </c>
      <c r="Z31" s="20">
        <v>2</v>
      </c>
      <c r="AA31" s="12" t="s">
        <v>1347</v>
      </c>
      <c r="AB31" s="12" t="s">
        <v>1348</v>
      </c>
      <c r="AC31" s="12" t="s">
        <v>1349</v>
      </c>
      <c r="AD31" s="12" t="s">
        <v>1350</v>
      </c>
      <c r="AE31" s="12" t="s">
        <v>1351</v>
      </c>
      <c r="AF31" s="12" t="s">
        <v>1352</v>
      </c>
      <c r="AG31" s="12" t="s">
        <v>1353</v>
      </c>
    </row>
    <row r="32" spans="1:33" ht="75" x14ac:dyDescent="0.35">
      <c r="A32" s="17" t="s">
        <v>267</v>
      </c>
      <c r="B32" s="12" t="s">
        <v>66</v>
      </c>
      <c r="C32" s="12" t="s">
        <v>102</v>
      </c>
      <c r="D32" s="12" t="s">
        <v>268</v>
      </c>
      <c r="E32" s="12" t="s">
        <v>186</v>
      </c>
      <c r="F32" s="12" t="s">
        <v>1354</v>
      </c>
      <c r="G32" s="12" t="s">
        <v>1355</v>
      </c>
      <c r="H32" s="12" t="s">
        <v>1356</v>
      </c>
      <c r="I32" s="12" t="s">
        <v>269</v>
      </c>
      <c r="J32" s="12" t="s">
        <v>1090</v>
      </c>
      <c r="K32" s="12" t="s">
        <v>1357</v>
      </c>
      <c r="L32" s="12" t="s">
        <v>1358</v>
      </c>
      <c r="M32" s="20"/>
      <c r="N32" s="20" t="s">
        <v>1031</v>
      </c>
      <c r="O32" s="20"/>
      <c r="P32" s="20"/>
      <c r="Q32" s="20" t="s">
        <v>1031</v>
      </c>
      <c r="R32" s="20" t="s">
        <v>1031</v>
      </c>
      <c r="S32" s="20"/>
      <c r="T32" s="20" t="s">
        <v>129</v>
      </c>
      <c r="U32" s="12" t="s">
        <v>1359</v>
      </c>
      <c r="V32" s="20">
        <v>4</v>
      </c>
      <c r="W32" s="20">
        <v>4</v>
      </c>
      <c r="X32" s="20">
        <f t="shared" si="0"/>
        <v>16</v>
      </c>
      <c r="Y32" s="20" t="str">
        <f>INDEX(Risk_Model!$B$30:$B$33,MATCH(X32,Risk_Model!$A$30:$A$33,1))</f>
        <v>High</v>
      </c>
      <c r="Z32" s="20">
        <v>3</v>
      </c>
      <c r="AA32" s="12" t="s">
        <v>1360</v>
      </c>
      <c r="AB32" s="12" t="s">
        <v>1361</v>
      </c>
      <c r="AC32" s="12" t="s">
        <v>1362</v>
      </c>
      <c r="AD32" s="12" t="s">
        <v>1363</v>
      </c>
      <c r="AE32" s="12" t="s">
        <v>1351</v>
      </c>
      <c r="AF32" s="12" t="s">
        <v>1364</v>
      </c>
      <c r="AG32" s="12" t="s">
        <v>1365</v>
      </c>
    </row>
    <row r="33" spans="1:33" ht="62.5" x14ac:dyDescent="0.35">
      <c r="A33" s="17" t="s">
        <v>270</v>
      </c>
      <c r="B33" s="12" t="s">
        <v>66</v>
      </c>
      <c r="C33" s="12" t="s">
        <v>102</v>
      </c>
      <c r="D33" s="12" t="s">
        <v>271</v>
      </c>
      <c r="E33" s="12" t="s">
        <v>186</v>
      </c>
      <c r="F33" s="12" t="s">
        <v>1366</v>
      </c>
      <c r="G33" s="12" t="s">
        <v>1367</v>
      </c>
      <c r="H33" s="12" t="s">
        <v>1368</v>
      </c>
      <c r="I33" s="12" t="s">
        <v>272</v>
      </c>
      <c r="J33" s="12" t="s">
        <v>1028</v>
      </c>
      <c r="K33" s="12" t="s">
        <v>1369</v>
      </c>
      <c r="L33" s="12" t="s">
        <v>1370</v>
      </c>
      <c r="M33" s="20" t="s">
        <v>1031</v>
      </c>
      <c r="N33" s="20" t="s">
        <v>1031</v>
      </c>
      <c r="O33" s="20" t="s">
        <v>1031</v>
      </c>
      <c r="P33" s="20"/>
      <c r="Q33" s="20"/>
      <c r="R33" s="20"/>
      <c r="S33" s="20"/>
      <c r="T33" s="20" t="s">
        <v>131</v>
      </c>
      <c r="U33" s="12" t="s">
        <v>1371</v>
      </c>
      <c r="V33" s="20">
        <v>2</v>
      </c>
      <c r="W33" s="20">
        <v>3</v>
      </c>
      <c r="X33" s="20">
        <f t="shared" si="0"/>
        <v>6</v>
      </c>
      <c r="Y33" s="20" t="str">
        <f>INDEX(Risk_Model!$B$30:$B$33,MATCH(X33,Risk_Model!$A$30:$A$33,1))</f>
        <v>Medium</v>
      </c>
      <c r="Z33" s="20">
        <v>1</v>
      </c>
      <c r="AA33" s="12" t="s">
        <v>1372</v>
      </c>
      <c r="AB33" s="12" t="s">
        <v>1373</v>
      </c>
      <c r="AC33" s="12" t="s">
        <v>1374</v>
      </c>
      <c r="AD33" s="12" t="s">
        <v>1375</v>
      </c>
      <c r="AE33" s="12" t="s">
        <v>1351</v>
      </c>
      <c r="AF33" s="12" t="s">
        <v>1376</v>
      </c>
      <c r="AG33" s="12" t="s">
        <v>1377</v>
      </c>
    </row>
    <row r="34" spans="1:33" ht="75" x14ac:dyDescent="0.35">
      <c r="A34" s="17" t="s">
        <v>273</v>
      </c>
      <c r="B34" s="12" t="s">
        <v>66</v>
      </c>
      <c r="C34" s="12" t="s">
        <v>102</v>
      </c>
      <c r="D34" s="12" t="s">
        <v>274</v>
      </c>
      <c r="E34" s="12" t="s">
        <v>186</v>
      </c>
      <c r="F34" s="12" t="s">
        <v>1378</v>
      </c>
      <c r="G34" s="12" t="s">
        <v>1379</v>
      </c>
      <c r="H34" s="12" t="s">
        <v>1380</v>
      </c>
      <c r="I34" s="12" t="s">
        <v>275</v>
      </c>
      <c r="J34" s="12" t="s">
        <v>1198</v>
      </c>
      <c r="K34" s="12" t="s">
        <v>1381</v>
      </c>
      <c r="L34" s="12" t="s">
        <v>1382</v>
      </c>
      <c r="M34" s="20"/>
      <c r="N34" s="20" t="s">
        <v>1031</v>
      </c>
      <c r="O34" s="20"/>
      <c r="P34" s="20"/>
      <c r="Q34" s="20" t="s">
        <v>1031</v>
      </c>
      <c r="R34" s="20" t="s">
        <v>1031</v>
      </c>
      <c r="S34" s="20"/>
      <c r="T34" s="20" t="s">
        <v>129</v>
      </c>
      <c r="U34" s="12" t="s">
        <v>1383</v>
      </c>
      <c r="V34" s="20">
        <v>4</v>
      </c>
      <c r="W34" s="20">
        <v>4</v>
      </c>
      <c r="X34" s="20">
        <f t="shared" si="0"/>
        <v>16</v>
      </c>
      <c r="Y34" s="20" t="str">
        <f>INDEX(Risk_Model!$B$30:$B$33,MATCH(X34,Risk_Model!$A$30:$A$33,1))</f>
        <v>High</v>
      </c>
      <c r="Z34" s="20">
        <v>3</v>
      </c>
      <c r="AA34" s="12" t="s">
        <v>1384</v>
      </c>
      <c r="AB34" s="12" t="s">
        <v>1385</v>
      </c>
      <c r="AC34" s="12" t="s">
        <v>1386</v>
      </c>
      <c r="AD34" s="12" t="s">
        <v>1387</v>
      </c>
      <c r="AE34" s="12" t="s">
        <v>1351</v>
      </c>
      <c r="AF34" s="12" t="s">
        <v>1388</v>
      </c>
      <c r="AG34" s="12" t="s">
        <v>1207</v>
      </c>
    </row>
    <row r="35" spans="1:33" ht="87.5" x14ac:dyDescent="0.35">
      <c r="A35" s="17" t="s">
        <v>276</v>
      </c>
      <c r="B35" s="12" t="s">
        <v>66</v>
      </c>
      <c r="C35" s="12" t="s">
        <v>103</v>
      </c>
      <c r="D35" s="12" t="s">
        <v>277</v>
      </c>
      <c r="E35" s="12" t="s">
        <v>186</v>
      </c>
      <c r="F35" s="12" t="s">
        <v>1389</v>
      </c>
      <c r="G35" s="12" t="s">
        <v>1390</v>
      </c>
      <c r="H35" s="12" t="s">
        <v>1391</v>
      </c>
      <c r="I35" s="12" t="s">
        <v>278</v>
      </c>
      <c r="J35" s="12" t="s">
        <v>1028</v>
      </c>
      <c r="K35" s="12" t="s">
        <v>1392</v>
      </c>
      <c r="L35" s="12" t="s">
        <v>1393</v>
      </c>
      <c r="M35" s="20"/>
      <c r="N35" s="20" t="s">
        <v>1031</v>
      </c>
      <c r="O35" s="20" t="s">
        <v>1031</v>
      </c>
      <c r="P35" s="20"/>
      <c r="Q35" s="20" t="s">
        <v>1031</v>
      </c>
      <c r="R35" s="20"/>
      <c r="S35" s="20" t="s">
        <v>1031</v>
      </c>
      <c r="T35" s="20" t="s">
        <v>130</v>
      </c>
      <c r="U35" s="12" t="s">
        <v>1394</v>
      </c>
      <c r="V35" s="20">
        <v>3</v>
      </c>
      <c r="W35" s="20">
        <v>5</v>
      </c>
      <c r="X35" s="20">
        <f t="shared" si="0"/>
        <v>15</v>
      </c>
      <c r="Y35" s="20" t="str">
        <f>INDEX(Risk_Model!$B$30:$B$33,MATCH(X35,Risk_Model!$A$30:$A$33,1))</f>
        <v>High</v>
      </c>
      <c r="Z35" s="20">
        <v>3</v>
      </c>
      <c r="AA35" s="12" t="s">
        <v>1395</v>
      </c>
      <c r="AB35" s="12" t="s">
        <v>1396</v>
      </c>
      <c r="AC35" s="12" t="s">
        <v>1397</v>
      </c>
      <c r="AD35" s="12" t="s">
        <v>1398</v>
      </c>
      <c r="AE35" s="12" t="s">
        <v>1399</v>
      </c>
      <c r="AF35" s="12" t="s">
        <v>1400</v>
      </c>
      <c r="AG35" s="12" t="s">
        <v>1401</v>
      </c>
    </row>
    <row r="36" spans="1:33" ht="75" x14ac:dyDescent="0.35">
      <c r="A36" s="17" t="s">
        <v>279</v>
      </c>
      <c r="B36" s="12" t="s">
        <v>66</v>
      </c>
      <c r="C36" s="12" t="s">
        <v>104</v>
      </c>
      <c r="D36" s="12" t="s">
        <v>280</v>
      </c>
      <c r="E36" s="12" t="s">
        <v>186</v>
      </c>
      <c r="F36" s="12" t="s">
        <v>1402</v>
      </c>
      <c r="G36" s="12" t="s">
        <v>1403</v>
      </c>
      <c r="H36" s="12" t="s">
        <v>1404</v>
      </c>
      <c r="I36" s="12" t="s">
        <v>281</v>
      </c>
      <c r="J36" s="12" t="s">
        <v>1028</v>
      </c>
      <c r="K36" s="12" t="s">
        <v>1405</v>
      </c>
      <c r="L36" s="12" t="s">
        <v>1406</v>
      </c>
      <c r="M36" s="20"/>
      <c r="N36" s="20"/>
      <c r="O36" s="20" t="s">
        <v>1031</v>
      </c>
      <c r="P36" s="20"/>
      <c r="Q36" s="20" t="s">
        <v>1031</v>
      </c>
      <c r="R36" s="20" t="s">
        <v>1031</v>
      </c>
      <c r="S36" s="20"/>
      <c r="T36" s="20" t="s">
        <v>129</v>
      </c>
      <c r="U36" s="12" t="s">
        <v>1407</v>
      </c>
      <c r="V36" s="20">
        <v>3</v>
      </c>
      <c r="W36" s="20">
        <v>5</v>
      </c>
      <c r="X36" s="20">
        <f t="shared" si="0"/>
        <v>15</v>
      </c>
      <c r="Y36" s="20" t="str">
        <f>INDEX(Risk_Model!$B$30:$B$33,MATCH(X36,Risk_Model!$A$30:$A$33,1))</f>
        <v>High</v>
      </c>
      <c r="Z36" s="20">
        <v>3</v>
      </c>
      <c r="AA36" s="12" t="s">
        <v>1408</v>
      </c>
      <c r="AB36" s="12" t="s">
        <v>1409</v>
      </c>
      <c r="AC36" s="12" t="s">
        <v>1410</v>
      </c>
      <c r="AD36" s="12" t="s">
        <v>1411</v>
      </c>
      <c r="AE36" s="12" t="s">
        <v>1412</v>
      </c>
      <c r="AF36" s="12" t="s">
        <v>1413</v>
      </c>
      <c r="AG36" s="12" t="s">
        <v>1414</v>
      </c>
    </row>
    <row r="37" spans="1:33" ht="112.5" x14ac:dyDescent="0.35">
      <c r="A37" s="17" t="s">
        <v>282</v>
      </c>
      <c r="B37" s="12" t="s">
        <v>66</v>
      </c>
      <c r="C37" s="12" t="s">
        <v>104</v>
      </c>
      <c r="D37" s="12" t="s">
        <v>283</v>
      </c>
      <c r="E37" s="12" t="s">
        <v>186</v>
      </c>
      <c r="F37" s="12" t="s">
        <v>1415</v>
      </c>
      <c r="G37" s="12" t="s">
        <v>1416</v>
      </c>
      <c r="H37" s="12" t="s">
        <v>1417</v>
      </c>
      <c r="I37" s="12" t="s">
        <v>284</v>
      </c>
      <c r="J37" s="12" t="s">
        <v>1028</v>
      </c>
      <c r="K37" s="12" t="s">
        <v>1418</v>
      </c>
      <c r="L37" s="12" t="s">
        <v>1419</v>
      </c>
      <c r="M37" s="20"/>
      <c r="N37" s="20"/>
      <c r="O37" s="20" t="s">
        <v>1031</v>
      </c>
      <c r="P37" s="20"/>
      <c r="Q37" s="20" t="s">
        <v>1031</v>
      </c>
      <c r="R37" s="20" t="s">
        <v>1031</v>
      </c>
      <c r="S37" s="20"/>
      <c r="T37" s="20" t="s">
        <v>129</v>
      </c>
      <c r="U37" s="12" t="s">
        <v>1420</v>
      </c>
      <c r="V37" s="20">
        <v>4</v>
      </c>
      <c r="W37" s="20">
        <v>5</v>
      </c>
      <c r="X37" s="20">
        <f t="shared" ref="X37:X68" si="1">V37*W37</f>
        <v>20</v>
      </c>
      <c r="Y37" s="20" t="str">
        <f>INDEX(Risk_Model!$B$30:$B$33,MATCH(X37,Risk_Model!$A$30:$A$33,1))</f>
        <v>Critical</v>
      </c>
      <c r="Z37" s="20">
        <v>3</v>
      </c>
      <c r="AA37" s="12" t="s">
        <v>1421</v>
      </c>
      <c r="AB37" s="12" t="s">
        <v>1422</v>
      </c>
      <c r="AC37" s="12" t="s">
        <v>1423</v>
      </c>
      <c r="AD37" s="12" t="s">
        <v>1424</v>
      </c>
      <c r="AE37" s="12" t="s">
        <v>1412</v>
      </c>
      <c r="AF37" s="12" t="s">
        <v>1425</v>
      </c>
      <c r="AG37" s="12" t="s">
        <v>1426</v>
      </c>
    </row>
    <row r="38" spans="1:33" ht="75" x14ac:dyDescent="0.35">
      <c r="A38" s="17" t="s">
        <v>285</v>
      </c>
      <c r="B38" s="12" t="s">
        <v>66</v>
      </c>
      <c r="C38" s="12" t="s">
        <v>104</v>
      </c>
      <c r="D38" s="12" t="s">
        <v>286</v>
      </c>
      <c r="E38" s="12" t="s">
        <v>186</v>
      </c>
      <c r="F38" s="12" t="s">
        <v>1427</v>
      </c>
      <c r="G38" s="12" t="s">
        <v>1428</v>
      </c>
      <c r="H38" s="12" t="s">
        <v>1429</v>
      </c>
      <c r="I38" s="12" t="s">
        <v>287</v>
      </c>
      <c r="J38" s="12" t="s">
        <v>1028</v>
      </c>
      <c r="K38" s="12" t="s">
        <v>1430</v>
      </c>
      <c r="L38" s="12" t="s">
        <v>1431</v>
      </c>
      <c r="M38" s="20"/>
      <c r="N38" s="20"/>
      <c r="O38" s="20" t="s">
        <v>1031</v>
      </c>
      <c r="P38" s="20"/>
      <c r="Q38" s="20" t="s">
        <v>1031</v>
      </c>
      <c r="R38" s="20" t="s">
        <v>1031</v>
      </c>
      <c r="S38" s="20"/>
      <c r="T38" s="20" t="s">
        <v>129</v>
      </c>
      <c r="U38" s="12" t="s">
        <v>1432</v>
      </c>
      <c r="V38" s="20">
        <v>4</v>
      </c>
      <c r="W38" s="20">
        <v>4</v>
      </c>
      <c r="X38" s="20">
        <f t="shared" si="1"/>
        <v>16</v>
      </c>
      <c r="Y38" s="20" t="str">
        <f>INDEX(Risk_Model!$B$30:$B$33,MATCH(X38,Risk_Model!$A$30:$A$33,1))</f>
        <v>High</v>
      </c>
      <c r="Z38" s="20">
        <v>3</v>
      </c>
      <c r="AA38" s="12" t="s">
        <v>1433</v>
      </c>
      <c r="AB38" s="12" t="s">
        <v>1434</v>
      </c>
      <c r="AC38" s="12" t="s">
        <v>1435</v>
      </c>
      <c r="AD38" s="12" t="s">
        <v>1436</v>
      </c>
      <c r="AE38" s="12" t="s">
        <v>1412</v>
      </c>
      <c r="AF38" s="12" t="s">
        <v>1437</v>
      </c>
      <c r="AG38" s="12" t="s">
        <v>1438</v>
      </c>
    </row>
    <row r="39" spans="1:33" ht="75" x14ac:dyDescent="0.35">
      <c r="A39" s="17" t="s">
        <v>288</v>
      </c>
      <c r="B39" s="12" t="s">
        <v>66</v>
      </c>
      <c r="C39" s="12" t="s">
        <v>104</v>
      </c>
      <c r="D39" s="12" t="s">
        <v>289</v>
      </c>
      <c r="E39" s="12" t="s">
        <v>186</v>
      </c>
      <c r="F39" s="12" t="s">
        <v>1439</v>
      </c>
      <c r="G39" s="12" t="s">
        <v>1440</v>
      </c>
      <c r="H39" s="12" t="s">
        <v>1441</v>
      </c>
      <c r="I39" s="12" t="s">
        <v>290</v>
      </c>
      <c r="J39" s="12" t="s">
        <v>1028</v>
      </c>
      <c r="K39" s="12" t="s">
        <v>1442</v>
      </c>
      <c r="L39" s="12" t="s">
        <v>1443</v>
      </c>
      <c r="M39" s="20" t="s">
        <v>1031</v>
      </c>
      <c r="N39" s="20" t="s">
        <v>1031</v>
      </c>
      <c r="O39" s="20"/>
      <c r="P39" s="20"/>
      <c r="Q39" s="20" t="s">
        <v>1031</v>
      </c>
      <c r="R39" s="20"/>
      <c r="S39" s="20"/>
      <c r="T39" s="20" t="s">
        <v>129</v>
      </c>
      <c r="U39" s="12" t="s">
        <v>1444</v>
      </c>
      <c r="V39" s="20">
        <v>3</v>
      </c>
      <c r="W39" s="20">
        <v>4</v>
      </c>
      <c r="X39" s="20">
        <f t="shared" si="1"/>
        <v>12</v>
      </c>
      <c r="Y39" s="20" t="str">
        <f>INDEX(Risk_Model!$B$30:$B$33,MATCH(X39,Risk_Model!$A$30:$A$33,1))</f>
        <v>High</v>
      </c>
      <c r="Z39" s="20">
        <v>2</v>
      </c>
      <c r="AA39" s="12" t="s">
        <v>1445</v>
      </c>
      <c r="AB39" s="12" t="s">
        <v>1446</v>
      </c>
      <c r="AC39" s="12" t="s">
        <v>1447</v>
      </c>
      <c r="AD39" s="12" t="s">
        <v>1448</v>
      </c>
      <c r="AE39" s="12" t="s">
        <v>1412</v>
      </c>
      <c r="AF39" s="12" t="s">
        <v>1449</v>
      </c>
      <c r="AG39" s="12" t="s">
        <v>1438</v>
      </c>
    </row>
    <row r="40" spans="1:33" ht="50" x14ac:dyDescent="0.35">
      <c r="A40" s="17" t="s">
        <v>291</v>
      </c>
      <c r="B40" s="12" t="s">
        <v>66</v>
      </c>
      <c r="C40" s="12" t="s">
        <v>104</v>
      </c>
      <c r="D40" s="12" t="s">
        <v>292</v>
      </c>
      <c r="E40" s="12" t="s">
        <v>186</v>
      </c>
      <c r="F40" s="12" t="s">
        <v>1450</v>
      </c>
      <c r="G40" s="12" t="s">
        <v>1451</v>
      </c>
      <c r="H40" s="12" t="s">
        <v>1452</v>
      </c>
      <c r="I40" s="12" t="s">
        <v>293</v>
      </c>
      <c r="J40" s="12" t="s">
        <v>1028</v>
      </c>
      <c r="K40" s="12" t="s">
        <v>1453</v>
      </c>
      <c r="L40" s="12" t="s">
        <v>1454</v>
      </c>
      <c r="M40" s="20"/>
      <c r="N40" s="20"/>
      <c r="O40" s="20" t="s">
        <v>1031</v>
      </c>
      <c r="P40" s="20"/>
      <c r="Q40" s="20" t="s">
        <v>1031</v>
      </c>
      <c r="R40" s="20"/>
      <c r="S40" s="20"/>
      <c r="T40" s="20" t="s">
        <v>129</v>
      </c>
      <c r="U40" s="12" t="s">
        <v>1455</v>
      </c>
      <c r="V40" s="20">
        <v>3</v>
      </c>
      <c r="W40" s="20">
        <v>4</v>
      </c>
      <c r="X40" s="20">
        <f t="shared" si="1"/>
        <v>12</v>
      </c>
      <c r="Y40" s="20" t="str">
        <f>INDEX(Risk_Model!$B$30:$B$33,MATCH(X40,Risk_Model!$A$30:$A$33,1))</f>
        <v>High</v>
      </c>
      <c r="Z40" s="20">
        <v>2</v>
      </c>
      <c r="AA40" s="12" t="s">
        <v>1456</v>
      </c>
      <c r="AB40" s="12" t="s">
        <v>1457</v>
      </c>
      <c r="AC40" s="12" t="s">
        <v>1458</v>
      </c>
      <c r="AD40" s="12" t="s">
        <v>1459</v>
      </c>
      <c r="AE40" s="12" t="s">
        <v>1412</v>
      </c>
      <c r="AF40" s="12" t="s">
        <v>1460</v>
      </c>
      <c r="AG40" s="12" t="s">
        <v>1438</v>
      </c>
    </row>
    <row r="41" spans="1:33" ht="75" x14ac:dyDescent="0.35">
      <c r="A41" s="17" t="s">
        <v>294</v>
      </c>
      <c r="B41" s="12" t="s">
        <v>66</v>
      </c>
      <c r="C41" s="12" t="s">
        <v>104</v>
      </c>
      <c r="D41" s="12" t="s">
        <v>295</v>
      </c>
      <c r="E41" s="12" t="s">
        <v>186</v>
      </c>
      <c r="F41" s="12" t="s">
        <v>1461</v>
      </c>
      <c r="G41" s="12" t="s">
        <v>1462</v>
      </c>
      <c r="H41" s="12" t="s">
        <v>1463</v>
      </c>
      <c r="I41" s="12" t="s">
        <v>296</v>
      </c>
      <c r="J41" s="12" t="s">
        <v>1028</v>
      </c>
      <c r="K41" s="12" t="s">
        <v>1464</v>
      </c>
      <c r="L41" s="12" t="s">
        <v>1465</v>
      </c>
      <c r="M41" s="20"/>
      <c r="N41" s="20" t="s">
        <v>1031</v>
      </c>
      <c r="O41" s="20" t="s">
        <v>1031</v>
      </c>
      <c r="P41" s="20"/>
      <c r="Q41" s="20" t="s">
        <v>1031</v>
      </c>
      <c r="R41" s="20"/>
      <c r="S41" s="20"/>
      <c r="T41" s="20" t="s">
        <v>130</v>
      </c>
      <c r="U41" s="12" t="s">
        <v>1466</v>
      </c>
      <c r="V41" s="20">
        <v>3</v>
      </c>
      <c r="W41" s="20">
        <v>5</v>
      </c>
      <c r="X41" s="20">
        <f t="shared" si="1"/>
        <v>15</v>
      </c>
      <c r="Y41" s="20" t="str">
        <f>INDEX(Risk_Model!$B$30:$B$33,MATCH(X41,Risk_Model!$A$30:$A$33,1))</f>
        <v>High</v>
      </c>
      <c r="Z41" s="20">
        <v>2</v>
      </c>
      <c r="AA41" s="12" t="s">
        <v>1467</v>
      </c>
      <c r="AB41" s="12" t="s">
        <v>1468</v>
      </c>
      <c r="AC41" s="12" t="s">
        <v>1469</v>
      </c>
      <c r="AD41" s="12" t="s">
        <v>1470</v>
      </c>
      <c r="AE41" s="12" t="s">
        <v>1412</v>
      </c>
      <c r="AF41" s="12" t="s">
        <v>1471</v>
      </c>
      <c r="AG41" s="12" t="s">
        <v>1472</v>
      </c>
    </row>
    <row r="42" spans="1:33" ht="75" x14ac:dyDescent="0.35">
      <c r="A42" s="17" t="s">
        <v>297</v>
      </c>
      <c r="B42" s="12" t="s">
        <v>66</v>
      </c>
      <c r="C42" s="12" t="s">
        <v>104</v>
      </c>
      <c r="D42" s="12" t="s">
        <v>298</v>
      </c>
      <c r="E42" s="12" t="s">
        <v>186</v>
      </c>
      <c r="F42" s="12" t="s">
        <v>1473</v>
      </c>
      <c r="G42" s="12" t="s">
        <v>1474</v>
      </c>
      <c r="H42" s="12" t="s">
        <v>1475</v>
      </c>
      <c r="I42" s="12" t="s">
        <v>299</v>
      </c>
      <c r="J42" s="12" t="s">
        <v>1028</v>
      </c>
      <c r="K42" s="12" t="s">
        <v>1476</v>
      </c>
      <c r="L42" s="12" t="s">
        <v>1477</v>
      </c>
      <c r="M42" s="20"/>
      <c r="N42" s="20"/>
      <c r="O42" s="20" t="s">
        <v>1031</v>
      </c>
      <c r="P42" s="20"/>
      <c r="Q42" s="20" t="s">
        <v>1031</v>
      </c>
      <c r="R42" s="20" t="s">
        <v>1031</v>
      </c>
      <c r="S42" s="20"/>
      <c r="T42" s="20" t="s">
        <v>129</v>
      </c>
      <c r="U42" s="12" t="s">
        <v>1478</v>
      </c>
      <c r="V42" s="20">
        <v>4</v>
      </c>
      <c r="W42" s="20">
        <v>5</v>
      </c>
      <c r="X42" s="20">
        <f t="shared" si="1"/>
        <v>20</v>
      </c>
      <c r="Y42" s="20" t="str">
        <f>INDEX(Risk_Model!$B$30:$B$33,MATCH(X42,Risk_Model!$A$30:$A$33,1))</f>
        <v>Critical</v>
      </c>
      <c r="Z42" s="20">
        <v>3</v>
      </c>
      <c r="AA42" s="12" t="s">
        <v>1479</v>
      </c>
      <c r="AB42" s="12" t="s">
        <v>1480</v>
      </c>
      <c r="AC42" s="12" t="s">
        <v>1481</v>
      </c>
      <c r="AD42" s="12" t="s">
        <v>1482</v>
      </c>
      <c r="AE42" s="12" t="s">
        <v>1412</v>
      </c>
      <c r="AF42" s="12" t="s">
        <v>1483</v>
      </c>
      <c r="AG42" s="12" t="s">
        <v>1051</v>
      </c>
    </row>
    <row r="43" spans="1:33" ht="87.5" x14ac:dyDescent="0.35">
      <c r="A43" s="17" t="s">
        <v>300</v>
      </c>
      <c r="B43" s="12" t="s">
        <v>66</v>
      </c>
      <c r="C43" s="12" t="s">
        <v>104</v>
      </c>
      <c r="D43" s="12" t="s">
        <v>301</v>
      </c>
      <c r="E43" s="12" t="s">
        <v>186</v>
      </c>
      <c r="F43" s="12" t="s">
        <v>1484</v>
      </c>
      <c r="G43" s="12" t="s">
        <v>1485</v>
      </c>
      <c r="H43" s="12" t="s">
        <v>1486</v>
      </c>
      <c r="I43" s="12" t="s">
        <v>302</v>
      </c>
      <c r="J43" s="12" t="s">
        <v>1028</v>
      </c>
      <c r="K43" s="12" t="s">
        <v>1487</v>
      </c>
      <c r="L43" s="12" t="s">
        <v>1488</v>
      </c>
      <c r="M43" s="20"/>
      <c r="N43" s="20"/>
      <c r="O43" s="20" t="s">
        <v>1031</v>
      </c>
      <c r="P43" s="20"/>
      <c r="Q43" s="20" t="s">
        <v>1031</v>
      </c>
      <c r="R43" s="20" t="s">
        <v>1031</v>
      </c>
      <c r="S43" s="20"/>
      <c r="T43" s="20" t="s">
        <v>129</v>
      </c>
      <c r="U43" s="12" t="s">
        <v>1489</v>
      </c>
      <c r="V43" s="20">
        <v>4</v>
      </c>
      <c r="W43" s="20">
        <v>4</v>
      </c>
      <c r="X43" s="20">
        <f t="shared" si="1"/>
        <v>16</v>
      </c>
      <c r="Y43" s="20" t="str">
        <f>INDEX(Risk_Model!$B$30:$B$33,MATCH(X43,Risk_Model!$A$30:$A$33,1))</f>
        <v>High</v>
      </c>
      <c r="Z43" s="20">
        <v>2</v>
      </c>
      <c r="AA43" s="12" t="s">
        <v>1490</v>
      </c>
      <c r="AB43" s="12" t="s">
        <v>1491</v>
      </c>
      <c r="AC43" s="12" t="s">
        <v>1492</v>
      </c>
      <c r="AD43" s="12" t="s">
        <v>1493</v>
      </c>
      <c r="AE43" s="12" t="s">
        <v>1412</v>
      </c>
      <c r="AF43" s="12" t="s">
        <v>1494</v>
      </c>
      <c r="AG43" s="12" t="s">
        <v>1051</v>
      </c>
    </row>
    <row r="44" spans="1:33" ht="87.5" x14ac:dyDescent="0.35">
      <c r="A44" s="17" t="s">
        <v>303</v>
      </c>
      <c r="B44" s="12" t="s">
        <v>66</v>
      </c>
      <c r="C44" s="12" t="s">
        <v>104</v>
      </c>
      <c r="D44" s="12" t="s">
        <v>304</v>
      </c>
      <c r="E44" s="12" t="s">
        <v>56</v>
      </c>
      <c r="F44" s="12" t="s">
        <v>1495</v>
      </c>
      <c r="G44" s="12" t="s">
        <v>1496</v>
      </c>
      <c r="H44" s="12" t="s">
        <v>1497</v>
      </c>
      <c r="I44" s="12" t="s">
        <v>305</v>
      </c>
      <c r="J44" s="12" t="s">
        <v>1028</v>
      </c>
      <c r="K44" s="12" t="s">
        <v>1498</v>
      </c>
      <c r="L44" s="12" t="s">
        <v>1499</v>
      </c>
      <c r="M44" s="20"/>
      <c r="N44" s="20"/>
      <c r="O44" s="20" t="s">
        <v>1031</v>
      </c>
      <c r="P44" s="20"/>
      <c r="Q44" s="20" t="s">
        <v>1031</v>
      </c>
      <c r="R44" s="20" t="s">
        <v>1031</v>
      </c>
      <c r="S44" s="20"/>
      <c r="T44" s="20" t="s">
        <v>129</v>
      </c>
      <c r="U44" s="12" t="s">
        <v>1500</v>
      </c>
      <c r="V44" s="20">
        <v>3</v>
      </c>
      <c r="W44" s="20">
        <v>4</v>
      </c>
      <c r="X44" s="20">
        <f t="shared" si="1"/>
        <v>12</v>
      </c>
      <c r="Y44" s="20" t="str">
        <f>INDEX(Risk_Model!$B$30:$B$33,MATCH(X44,Risk_Model!$A$30:$A$33,1))</f>
        <v>High</v>
      </c>
      <c r="Z44" s="20">
        <v>2</v>
      </c>
      <c r="AA44" s="12" t="s">
        <v>1501</v>
      </c>
      <c r="AB44" s="12" t="s">
        <v>1502</v>
      </c>
      <c r="AC44" s="12" t="s">
        <v>1503</v>
      </c>
      <c r="AD44" s="12" t="s">
        <v>1504</v>
      </c>
      <c r="AE44" s="12" t="s">
        <v>1412</v>
      </c>
      <c r="AF44" s="12" t="s">
        <v>1505</v>
      </c>
      <c r="AG44" s="12" t="s">
        <v>1051</v>
      </c>
    </row>
    <row r="45" spans="1:33" ht="100" x14ac:dyDescent="0.35">
      <c r="A45" s="17" t="s">
        <v>306</v>
      </c>
      <c r="B45" s="12" t="s">
        <v>66</v>
      </c>
      <c r="C45" s="12" t="s">
        <v>105</v>
      </c>
      <c r="D45" s="12" t="s">
        <v>307</v>
      </c>
      <c r="E45" s="12" t="s">
        <v>186</v>
      </c>
      <c r="F45" s="12" t="s">
        <v>1506</v>
      </c>
      <c r="G45" s="12" t="s">
        <v>1507</v>
      </c>
      <c r="H45" s="12" t="s">
        <v>1508</v>
      </c>
      <c r="I45" s="12" t="s">
        <v>308</v>
      </c>
      <c r="J45" s="12" t="s">
        <v>1028</v>
      </c>
      <c r="K45" s="12" t="s">
        <v>1509</v>
      </c>
      <c r="L45" s="12" t="s">
        <v>1510</v>
      </c>
      <c r="M45" s="20"/>
      <c r="N45" s="20"/>
      <c r="O45" s="20" t="s">
        <v>1031</v>
      </c>
      <c r="P45" s="20"/>
      <c r="Q45" s="20" t="s">
        <v>1031</v>
      </c>
      <c r="R45" s="20" t="s">
        <v>1031</v>
      </c>
      <c r="S45" s="20"/>
      <c r="T45" s="20" t="s">
        <v>129</v>
      </c>
      <c r="U45" s="12" t="s">
        <v>1511</v>
      </c>
      <c r="V45" s="20">
        <v>3</v>
      </c>
      <c r="W45" s="20">
        <v>4</v>
      </c>
      <c r="X45" s="20">
        <f t="shared" si="1"/>
        <v>12</v>
      </c>
      <c r="Y45" s="20" t="str">
        <f>INDEX(Risk_Model!$B$30:$B$33,MATCH(X45,Risk_Model!$A$30:$A$33,1))</f>
        <v>High</v>
      </c>
      <c r="Z45" s="20">
        <v>3</v>
      </c>
      <c r="AA45" s="12" t="s">
        <v>1512</v>
      </c>
      <c r="AB45" s="12" t="s">
        <v>1513</v>
      </c>
      <c r="AC45" s="12" t="s">
        <v>1514</v>
      </c>
      <c r="AD45" s="12" t="s">
        <v>1515</v>
      </c>
      <c r="AE45" s="12" t="s">
        <v>1516</v>
      </c>
      <c r="AF45" s="12" t="s">
        <v>1517</v>
      </c>
      <c r="AG45" s="12" t="s">
        <v>1291</v>
      </c>
    </row>
    <row r="46" spans="1:33" ht="62.5" x14ac:dyDescent="0.35">
      <c r="A46" s="17" t="s">
        <v>309</v>
      </c>
      <c r="B46" s="12" t="s">
        <v>66</v>
      </c>
      <c r="C46" s="12" t="s">
        <v>105</v>
      </c>
      <c r="D46" s="12" t="s">
        <v>310</v>
      </c>
      <c r="E46" s="12" t="s">
        <v>186</v>
      </c>
      <c r="F46" s="12" t="s">
        <v>1518</v>
      </c>
      <c r="G46" s="12" t="s">
        <v>1519</v>
      </c>
      <c r="H46" s="12" t="s">
        <v>1520</v>
      </c>
      <c r="I46" s="12" t="s">
        <v>311</v>
      </c>
      <c r="J46" s="12" t="s">
        <v>1028</v>
      </c>
      <c r="K46" s="12" t="s">
        <v>1521</v>
      </c>
      <c r="L46" s="12" t="s">
        <v>1522</v>
      </c>
      <c r="M46" s="20"/>
      <c r="N46" s="20"/>
      <c r="O46" s="20" t="s">
        <v>1031</v>
      </c>
      <c r="P46" s="20" t="s">
        <v>1031</v>
      </c>
      <c r="Q46" s="20" t="s">
        <v>1031</v>
      </c>
      <c r="R46" s="20"/>
      <c r="S46" s="20"/>
      <c r="T46" s="20" t="s">
        <v>130</v>
      </c>
      <c r="U46" s="12" t="s">
        <v>1523</v>
      </c>
      <c r="V46" s="20">
        <v>3</v>
      </c>
      <c r="W46" s="20">
        <v>5</v>
      </c>
      <c r="X46" s="20">
        <f t="shared" si="1"/>
        <v>15</v>
      </c>
      <c r="Y46" s="20" t="str">
        <f>INDEX(Risk_Model!$B$30:$B$33,MATCH(X46,Risk_Model!$A$30:$A$33,1))</f>
        <v>High</v>
      </c>
      <c r="Z46" s="20">
        <v>3</v>
      </c>
      <c r="AA46" s="12" t="s">
        <v>1524</v>
      </c>
      <c r="AB46" s="12" t="s">
        <v>1525</v>
      </c>
      <c r="AC46" s="12" t="s">
        <v>1526</v>
      </c>
      <c r="AD46" s="12" t="s">
        <v>1527</v>
      </c>
      <c r="AE46" s="12" t="s">
        <v>1516</v>
      </c>
      <c r="AF46" s="12" t="s">
        <v>1528</v>
      </c>
      <c r="AG46" s="12" t="s">
        <v>1529</v>
      </c>
    </row>
    <row r="47" spans="1:33" ht="62.5" x14ac:dyDescent="0.35">
      <c r="A47" s="17" t="s">
        <v>312</v>
      </c>
      <c r="B47" s="12" t="s">
        <v>66</v>
      </c>
      <c r="C47" s="12" t="s">
        <v>106</v>
      </c>
      <c r="D47" s="12" t="s">
        <v>313</v>
      </c>
      <c r="E47" s="12" t="s">
        <v>186</v>
      </c>
      <c r="F47" s="12" t="s">
        <v>1530</v>
      </c>
      <c r="G47" s="12" t="s">
        <v>1531</v>
      </c>
      <c r="H47" s="12" t="s">
        <v>1532</v>
      </c>
      <c r="I47" s="12" t="s">
        <v>314</v>
      </c>
      <c r="J47" s="12" t="s">
        <v>1198</v>
      </c>
      <c r="K47" s="12" t="s">
        <v>1533</v>
      </c>
      <c r="L47" s="12" t="s">
        <v>1534</v>
      </c>
      <c r="M47" s="20"/>
      <c r="N47" s="20" t="s">
        <v>1031</v>
      </c>
      <c r="O47" s="20"/>
      <c r="P47" s="20"/>
      <c r="Q47" s="20" t="s">
        <v>1031</v>
      </c>
      <c r="R47" s="20" t="s">
        <v>1031</v>
      </c>
      <c r="S47" s="20"/>
      <c r="T47" s="20" t="s">
        <v>129</v>
      </c>
      <c r="U47" s="12" t="s">
        <v>1535</v>
      </c>
      <c r="V47" s="20">
        <v>3</v>
      </c>
      <c r="W47" s="20">
        <v>5</v>
      </c>
      <c r="X47" s="20">
        <f t="shared" si="1"/>
        <v>15</v>
      </c>
      <c r="Y47" s="20" t="str">
        <f>INDEX(Risk_Model!$B$30:$B$33,MATCH(X47,Risk_Model!$A$30:$A$33,1))</f>
        <v>High</v>
      </c>
      <c r="Z47" s="20">
        <v>3</v>
      </c>
      <c r="AA47" s="12" t="s">
        <v>1536</v>
      </c>
      <c r="AB47" s="12" t="s">
        <v>1537</v>
      </c>
      <c r="AC47" s="12" t="s">
        <v>1538</v>
      </c>
      <c r="AD47" s="12" t="s">
        <v>1539</v>
      </c>
      <c r="AE47" s="12" t="s">
        <v>1540</v>
      </c>
      <c r="AF47" s="12" t="s">
        <v>1541</v>
      </c>
      <c r="AG47" s="12" t="s">
        <v>1542</v>
      </c>
    </row>
    <row r="48" spans="1:33" ht="62.5" x14ac:dyDescent="0.35">
      <c r="A48" s="17" t="s">
        <v>315</v>
      </c>
      <c r="B48" s="12" t="s">
        <v>66</v>
      </c>
      <c r="C48" s="12" t="s">
        <v>106</v>
      </c>
      <c r="D48" s="12" t="s">
        <v>316</v>
      </c>
      <c r="E48" s="12" t="s">
        <v>186</v>
      </c>
      <c r="F48" s="12" t="s">
        <v>1543</v>
      </c>
      <c r="G48" s="12" t="s">
        <v>1544</v>
      </c>
      <c r="H48" s="12" t="s">
        <v>1545</v>
      </c>
      <c r="I48" s="12" t="s">
        <v>317</v>
      </c>
      <c r="J48" s="12" t="s">
        <v>1198</v>
      </c>
      <c r="K48" s="12" t="s">
        <v>1546</v>
      </c>
      <c r="L48" s="12" t="s">
        <v>1547</v>
      </c>
      <c r="M48" s="20" t="s">
        <v>1031</v>
      </c>
      <c r="N48" s="20" t="s">
        <v>1031</v>
      </c>
      <c r="O48" s="20"/>
      <c r="P48" s="20"/>
      <c r="Q48" s="20"/>
      <c r="R48" s="20"/>
      <c r="S48" s="20"/>
      <c r="T48" s="20" t="s">
        <v>131</v>
      </c>
      <c r="U48" s="12" t="s">
        <v>1548</v>
      </c>
      <c r="V48" s="20">
        <v>3</v>
      </c>
      <c r="W48" s="20">
        <v>4</v>
      </c>
      <c r="X48" s="20">
        <f t="shared" si="1"/>
        <v>12</v>
      </c>
      <c r="Y48" s="20" t="str">
        <f>INDEX(Risk_Model!$B$30:$B$33,MATCH(X48,Risk_Model!$A$30:$A$33,1))</f>
        <v>High</v>
      </c>
      <c r="Z48" s="20">
        <v>2</v>
      </c>
      <c r="AA48" s="12" t="s">
        <v>1549</v>
      </c>
      <c r="AB48" s="12" t="s">
        <v>1550</v>
      </c>
      <c r="AC48" s="12" t="s">
        <v>1551</v>
      </c>
      <c r="AD48" s="12" t="s">
        <v>1552</v>
      </c>
      <c r="AE48" s="12" t="s">
        <v>1540</v>
      </c>
      <c r="AF48" s="12" t="s">
        <v>1553</v>
      </c>
      <c r="AG48" s="12" t="s">
        <v>1542</v>
      </c>
    </row>
    <row r="49" spans="1:33" ht="62.5" x14ac:dyDescent="0.35">
      <c r="A49" s="17" t="s">
        <v>318</v>
      </c>
      <c r="B49" s="12" t="s">
        <v>66</v>
      </c>
      <c r="C49" s="12" t="s">
        <v>106</v>
      </c>
      <c r="D49" s="12" t="s">
        <v>319</v>
      </c>
      <c r="E49" s="12" t="s">
        <v>186</v>
      </c>
      <c r="F49" s="12" t="s">
        <v>1554</v>
      </c>
      <c r="G49" s="12" t="s">
        <v>1555</v>
      </c>
      <c r="H49" s="12" t="s">
        <v>1556</v>
      </c>
      <c r="I49" s="12" t="s">
        <v>320</v>
      </c>
      <c r="J49" s="12" t="s">
        <v>1090</v>
      </c>
      <c r="K49" s="12" t="s">
        <v>1557</v>
      </c>
      <c r="L49" s="12" t="s">
        <v>1558</v>
      </c>
      <c r="M49" s="20"/>
      <c r="N49" s="20" t="s">
        <v>1031</v>
      </c>
      <c r="O49" s="20"/>
      <c r="P49" s="20" t="s">
        <v>1031</v>
      </c>
      <c r="Q49" s="20" t="s">
        <v>1031</v>
      </c>
      <c r="R49" s="20"/>
      <c r="S49" s="20"/>
      <c r="T49" s="20" t="s">
        <v>130</v>
      </c>
      <c r="U49" s="12" t="s">
        <v>1559</v>
      </c>
      <c r="V49" s="20">
        <v>3</v>
      </c>
      <c r="W49" s="20">
        <v>5</v>
      </c>
      <c r="X49" s="20">
        <f t="shared" si="1"/>
        <v>15</v>
      </c>
      <c r="Y49" s="20" t="str">
        <f>INDEX(Risk_Model!$B$30:$B$33,MATCH(X49,Risk_Model!$A$30:$A$33,1))</f>
        <v>High</v>
      </c>
      <c r="Z49" s="20">
        <v>3</v>
      </c>
      <c r="AA49" s="12" t="s">
        <v>1560</v>
      </c>
      <c r="AB49" s="12" t="s">
        <v>1561</v>
      </c>
      <c r="AC49" s="12" t="s">
        <v>1562</v>
      </c>
      <c r="AD49" s="12" t="s">
        <v>1563</v>
      </c>
      <c r="AE49" s="12" t="s">
        <v>1540</v>
      </c>
      <c r="AF49" s="12" t="s">
        <v>1564</v>
      </c>
      <c r="AG49" s="12" t="s">
        <v>1542</v>
      </c>
    </row>
    <row r="50" spans="1:33" ht="62.5" x14ac:dyDescent="0.35">
      <c r="A50" s="17" t="s">
        <v>321</v>
      </c>
      <c r="B50" s="12" t="s">
        <v>66</v>
      </c>
      <c r="C50" s="12" t="s">
        <v>106</v>
      </c>
      <c r="D50" s="12" t="s">
        <v>322</v>
      </c>
      <c r="E50" s="12" t="s">
        <v>186</v>
      </c>
      <c r="F50" s="12" t="s">
        <v>1565</v>
      </c>
      <c r="G50" s="12" t="s">
        <v>1566</v>
      </c>
      <c r="H50" s="12" t="s">
        <v>1567</v>
      </c>
      <c r="I50" s="12" t="s">
        <v>323</v>
      </c>
      <c r="J50" s="12" t="s">
        <v>1198</v>
      </c>
      <c r="K50" s="12" t="s">
        <v>1568</v>
      </c>
      <c r="L50" s="12" t="s">
        <v>1569</v>
      </c>
      <c r="M50" s="20"/>
      <c r="N50" s="20"/>
      <c r="O50" s="20" t="s">
        <v>1031</v>
      </c>
      <c r="P50" s="20" t="s">
        <v>1031</v>
      </c>
      <c r="Q50" s="20" t="s">
        <v>1031</v>
      </c>
      <c r="R50" s="20"/>
      <c r="S50" s="20"/>
      <c r="T50" s="20" t="s">
        <v>130</v>
      </c>
      <c r="U50" s="12" t="s">
        <v>1570</v>
      </c>
      <c r="V50" s="20">
        <v>4</v>
      </c>
      <c r="W50" s="20">
        <v>5</v>
      </c>
      <c r="X50" s="20">
        <f t="shared" si="1"/>
        <v>20</v>
      </c>
      <c r="Y50" s="20" t="str">
        <f>INDEX(Risk_Model!$B$30:$B$33,MATCH(X50,Risk_Model!$A$30:$A$33,1))</f>
        <v>Critical</v>
      </c>
      <c r="Z50" s="20">
        <v>3</v>
      </c>
      <c r="AA50" s="12" t="s">
        <v>1571</v>
      </c>
      <c r="AB50" s="12" t="s">
        <v>1572</v>
      </c>
      <c r="AC50" s="12" t="s">
        <v>1573</v>
      </c>
      <c r="AD50" s="12" t="s">
        <v>1574</v>
      </c>
      <c r="AE50" s="12" t="s">
        <v>1540</v>
      </c>
      <c r="AF50" s="12" t="s">
        <v>1575</v>
      </c>
      <c r="AG50" s="12" t="s">
        <v>1542</v>
      </c>
    </row>
    <row r="51" spans="1:33" ht="62.5" x14ac:dyDescent="0.35">
      <c r="A51" s="17" t="s">
        <v>324</v>
      </c>
      <c r="B51" s="12" t="s">
        <v>66</v>
      </c>
      <c r="C51" s="12" t="s">
        <v>106</v>
      </c>
      <c r="D51" s="12" t="s">
        <v>325</v>
      </c>
      <c r="E51" s="12" t="s">
        <v>186</v>
      </c>
      <c r="F51" s="12" t="s">
        <v>1576</v>
      </c>
      <c r="G51" s="12" t="s">
        <v>1577</v>
      </c>
      <c r="H51" s="12" t="s">
        <v>1578</v>
      </c>
      <c r="I51" s="12" t="s">
        <v>326</v>
      </c>
      <c r="J51" s="12" t="s">
        <v>1028</v>
      </c>
      <c r="K51" s="12" t="s">
        <v>1579</v>
      </c>
      <c r="L51" s="12" t="s">
        <v>1580</v>
      </c>
      <c r="M51" s="20"/>
      <c r="N51" s="20" t="s">
        <v>1031</v>
      </c>
      <c r="O51" s="20" t="s">
        <v>1031</v>
      </c>
      <c r="P51" s="20"/>
      <c r="Q51" s="20" t="s">
        <v>1031</v>
      </c>
      <c r="R51" s="20"/>
      <c r="S51" s="20"/>
      <c r="T51" s="20" t="s">
        <v>130</v>
      </c>
      <c r="U51" s="12" t="s">
        <v>1581</v>
      </c>
      <c r="V51" s="20">
        <v>3</v>
      </c>
      <c r="W51" s="20">
        <v>4</v>
      </c>
      <c r="X51" s="20">
        <f t="shared" si="1"/>
        <v>12</v>
      </c>
      <c r="Y51" s="20" t="str">
        <f>INDEX(Risk_Model!$B$30:$B$33,MATCH(X51,Risk_Model!$A$30:$A$33,1))</f>
        <v>High</v>
      </c>
      <c r="Z51" s="20">
        <v>2</v>
      </c>
      <c r="AA51" s="12" t="s">
        <v>1582</v>
      </c>
      <c r="AB51" s="12" t="s">
        <v>1583</v>
      </c>
      <c r="AC51" s="12" t="s">
        <v>1584</v>
      </c>
      <c r="AD51" s="12" t="s">
        <v>1585</v>
      </c>
      <c r="AE51" s="12" t="s">
        <v>1540</v>
      </c>
      <c r="AF51" s="12" t="s">
        <v>1586</v>
      </c>
      <c r="AG51" s="12" t="s">
        <v>1542</v>
      </c>
    </row>
    <row r="52" spans="1:33" ht="62.5" x14ac:dyDescent="0.35">
      <c r="A52" s="17" t="s">
        <v>327</v>
      </c>
      <c r="B52" s="12" t="s">
        <v>66</v>
      </c>
      <c r="C52" s="12" t="s">
        <v>106</v>
      </c>
      <c r="D52" s="12" t="s">
        <v>328</v>
      </c>
      <c r="E52" s="12" t="s">
        <v>186</v>
      </c>
      <c r="F52" s="12" t="s">
        <v>1587</v>
      </c>
      <c r="G52" s="12" t="s">
        <v>1588</v>
      </c>
      <c r="H52" s="12" t="s">
        <v>1589</v>
      </c>
      <c r="I52" s="12" t="s">
        <v>329</v>
      </c>
      <c r="J52" s="12" t="s">
        <v>1028</v>
      </c>
      <c r="K52" s="12" t="s">
        <v>1590</v>
      </c>
      <c r="L52" s="12" t="s">
        <v>1591</v>
      </c>
      <c r="M52" s="20" t="s">
        <v>1031</v>
      </c>
      <c r="N52" s="20"/>
      <c r="O52" s="20" t="s">
        <v>1031</v>
      </c>
      <c r="P52" s="20"/>
      <c r="Q52" s="20" t="s">
        <v>1031</v>
      </c>
      <c r="R52" s="20"/>
      <c r="S52" s="20"/>
      <c r="T52" s="20" t="s">
        <v>130</v>
      </c>
      <c r="U52" s="12" t="s">
        <v>1592</v>
      </c>
      <c r="V52" s="20">
        <v>4</v>
      </c>
      <c r="W52" s="20">
        <v>5</v>
      </c>
      <c r="X52" s="20">
        <f t="shared" si="1"/>
        <v>20</v>
      </c>
      <c r="Y52" s="20" t="str">
        <f>INDEX(Risk_Model!$B$30:$B$33,MATCH(X52,Risk_Model!$A$30:$A$33,1))</f>
        <v>Critical</v>
      </c>
      <c r="Z52" s="20">
        <v>3</v>
      </c>
      <c r="AA52" s="12" t="s">
        <v>1593</v>
      </c>
      <c r="AB52" s="12" t="s">
        <v>1594</v>
      </c>
      <c r="AC52" s="12" t="s">
        <v>1595</v>
      </c>
      <c r="AD52" s="12" t="s">
        <v>1596</v>
      </c>
      <c r="AE52" s="12" t="s">
        <v>1540</v>
      </c>
      <c r="AF52" s="12" t="s">
        <v>1597</v>
      </c>
      <c r="AG52" s="12" t="s">
        <v>1051</v>
      </c>
    </row>
    <row r="53" spans="1:33" ht="50" x14ac:dyDescent="0.35">
      <c r="A53" s="17" t="s">
        <v>330</v>
      </c>
      <c r="B53" s="12" t="s">
        <v>66</v>
      </c>
      <c r="C53" s="12" t="s">
        <v>74</v>
      </c>
      <c r="D53" s="12" t="s">
        <v>331</v>
      </c>
      <c r="E53" s="12" t="s">
        <v>186</v>
      </c>
      <c r="F53" s="12" t="s">
        <v>1598</v>
      </c>
      <c r="G53" s="12" t="s">
        <v>1599</v>
      </c>
      <c r="H53" s="12" t="s">
        <v>1600</v>
      </c>
      <c r="I53" s="12" t="s">
        <v>332</v>
      </c>
      <c r="J53" s="12" t="s">
        <v>1028</v>
      </c>
      <c r="K53" s="12" t="s">
        <v>1601</v>
      </c>
      <c r="L53" s="12" t="s">
        <v>1602</v>
      </c>
      <c r="M53" s="20"/>
      <c r="N53" s="20"/>
      <c r="O53" s="20" t="s">
        <v>1031</v>
      </c>
      <c r="P53" s="20"/>
      <c r="Q53" s="20" t="s">
        <v>1031</v>
      </c>
      <c r="R53" s="20" t="s">
        <v>1031</v>
      </c>
      <c r="S53" s="20"/>
      <c r="T53" s="20" t="s">
        <v>129</v>
      </c>
      <c r="U53" s="12" t="s">
        <v>1603</v>
      </c>
      <c r="V53" s="20">
        <v>3</v>
      </c>
      <c r="W53" s="20">
        <v>4</v>
      </c>
      <c r="X53" s="20">
        <f t="shared" si="1"/>
        <v>12</v>
      </c>
      <c r="Y53" s="20" t="str">
        <f>INDEX(Risk_Model!$B$30:$B$33,MATCH(X53,Risk_Model!$A$30:$A$33,1))</f>
        <v>High</v>
      </c>
      <c r="Z53" s="20">
        <v>2</v>
      </c>
      <c r="AA53" s="12" t="s">
        <v>1604</v>
      </c>
      <c r="AB53" s="12" t="s">
        <v>1605</v>
      </c>
      <c r="AC53" s="12" t="s">
        <v>1606</v>
      </c>
      <c r="AD53" s="12" t="s">
        <v>1607</v>
      </c>
      <c r="AE53" s="12" t="s">
        <v>1608</v>
      </c>
      <c r="AF53" s="12" t="s">
        <v>1609</v>
      </c>
      <c r="AG53" s="12" t="s">
        <v>1051</v>
      </c>
    </row>
    <row r="54" spans="1:33" ht="75" x14ac:dyDescent="0.35">
      <c r="A54" s="17" t="s">
        <v>333</v>
      </c>
      <c r="B54" s="12" t="s">
        <v>66</v>
      </c>
      <c r="C54" s="12" t="s">
        <v>74</v>
      </c>
      <c r="D54" s="12" t="s">
        <v>334</v>
      </c>
      <c r="E54" s="12" t="s">
        <v>186</v>
      </c>
      <c r="F54" s="12" t="s">
        <v>1610</v>
      </c>
      <c r="G54" s="12" t="s">
        <v>1611</v>
      </c>
      <c r="H54" s="12" t="s">
        <v>1612</v>
      </c>
      <c r="I54" s="12" t="s">
        <v>335</v>
      </c>
      <c r="J54" s="12" t="s">
        <v>1028</v>
      </c>
      <c r="K54" s="12" t="s">
        <v>1613</v>
      </c>
      <c r="L54" s="12" t="s">
        <v>1614</v>
      </c>
      <c r="M54" s="20"/>
      <c r="N54" s="20"/>
      <c r="O54" s="20"/>
      <c r="P54" s="20"/>
      <c r="Q54" s="20" t="s">
        <v>1031</v>
      </c>
      <c r="R54" s="20" t="s">
        <v>1031</v>
      </c>
      <c r="S54" s="20"/>
      <c r="T54" s="20" t="s">
        <v>129</v>
      </c>
      <c r="U54" s="12" t="s">
        <v>1615</v>
      </c>
      <c r="V54" s="20">
        <v>3</v>
      </c>
      <c r="W54" s="20">
        <v>4</v>
      </c>
      <c r="X54" s="20">
        <f t="shared" si="1"/>
        <v>12</v>
      </c>
      <c r="Y54" s="20" t="str">
        <f>INDEX(Risk_Model!$B$30:$B$33,MATCH(X54,Risk_Model!$A$30:$A$33,1))</f>
        <v>High</v>
      </c>
      <c r="Z54" s="20">
        <v>2</v>
      </c>
      <c r="AA54" s="12" t="s">
        <v>1616</v>
      </c>
      <c r="AB54" s="12" t="s">
        <v>1617</v>
      </c>
      <c r="AC54" s="12" t="s">
        <v>1618</v>
      </c>
      <c r="AD54" s="12" t="s">
        <v>1619</v>
      </c>
      <c r="AE54" s="12" t="s">
        <v>1608</v>
      </c>
      <c r="AF54" s="12" t="s">
        <v>1620</v>
      </c>
      <c r="AG54" s="12" t="s">
        <v>1291</v>
      </c>
    </row>
    <row r="55" spans="1:33" ht="50" x14ac:dyDescent="0.35">
      <c r="A55" s="17" t="s">
        <v>336</v>
      </c>
      <c r="B55" s="12" t="s">
        <v>66</v>
      </c>
      <c r="C55" s="12" t="s">
        <v>74</v>
      </c>
      <c r="D55" s="12" t="s">
        <v>337</v>
      </c>
      <c r="E55" s="12" t="s">
        <v>186</v>
      </c>
      <c r="F55" s="12" t="s">
        <v>1621</v>
      </c>
      <c r="G55" s="12" t="s">
        <v>1622</v>
      </c>
      <c r="H55" s="12" t="s">
        <v>1623</v>
      </c>
      <c r="I55" s="12" t="s">
        <v>338</v>
      </c>
      <c r="J55" s="12" t="s">
        <v>1028</v>
      </c>
      <c r="K55" s="12" t="s">
        <v>1624</v>
      </c>
      <c r="L55" s="12" t="s">
        <v>1625</v>
      </c>
      <c r="M55" s="20"/>
      <c r="N55" s="20"/>
      <c r="O55" s="20" t="s">
        <v>1031</v>
      </c>
      <c r="P55" s="20"/>
      <c r="Q55" s="20" t="s">
        <v>1031</v>
      </c>
      <c r="R55" s="20" t="s">
        <v>1031</v>
      </c>
      <c r="S55" s="20"/>
      <c r="T55" s="20" t="s">
        <v>129</v>
      </c>
      <c r="U55" s="12" t="s">
        <v>1626</v>
      </c>
      <c r="V55" s="20">
        <v>2</v>
      </c>
      <c r="W55" s="20">
        <v>4</v>
      </c>
      <c r="X55" s="20">
        <f t="shared" si="1"/>
        <v>8</v>
      </c>
      <c r="Y55" s="20" t="str">
        <f>INDEX(Risk_Model!$B$30:$B$33,MATCH(X55,Risk_Model!$A$30:$A$33,1))</f>
        <v>Medium</v>
      </c>
      <c r="Z55" s="20">
        <v>1</v>
      </c>
      <c r="AA55" s="12" t="s">
        <v>1627</v>
      </c>
      <c r="AB55" s="12" t="s">
        <v>1628</v>
      </c>
      <c r="AC55" s="12" t="s">
        <v>1629</v>
      </c>
      <c r="AD55" s="12" t="s">
        <v>1630</v>
      </c>
      <c r="AE55" s="12" t="s">
        <v>1608</v>
      </c>
      <c r="AF55" s="12" t="s">
        <v>1631</v>
      </c>
      <c r="AG55" s="12" t="s">
        <v>1632</v>
      </c>
    </row>
    <row r="56" spans="1:33" ht="50" x14ac:dyDescent="0.35">
      <c r="A56" s="17" t="s">
        <v>339</v>
      </c>
      <c r="B56" s="12" t="s">
        <v>66</v>
      </c>
      <c r="C56" s="12" t="s">
        <v>107</v>
      </c>
      <c r="D56" s="12" t="s">
        <v>340</v>
      </c>
      <c r="E56" s="12" t="s">
        <v>186</v>
      </c>
      <c r="F56" s="12" t="s">
        <v>1633</v>
      </c>
      <c r="G56" s="12" t="s">
        <v>1634</v>
      </c>
      <c r="H56" s="12" t="s">
        <v>1635</v>
      </c>
      <c r="I56" s="12" t="s">
        <v>341</v>
      </c>
      <c r="J56" s="12" t="s">
        <v>1090</v>
      </c>
      <c r="K56" s="12" t="s">
        <v>1636</v>
      </c>
      <c r="L56" s="12" t="s">
        <v>1637</v>
      </c>
      <c r="M56" s="20"/>
      <c r="N56" s="20" t="s">
        <v>1031</v>
      </c>
      <c r="O56" s="20"/>
      <c r="P56" s="20"/>
      <c r="Q56" s="20" t="s">
        <v>1031</v>
      </c>
      <c r="R56" s="20" t="s">
        <v>1031</v>
      </c>
      <c r="S56" s="20"/>
      <c r="T56" s="20" t="s">
        <v>129</v>
      </c>
      <c r="U56" s="12" t="s">
        <v>1638</v>
      </c>
      <c r="V56" s="20">
        <v>3</v>
      </c>
      <c r="W56" s="20">
        <v>4</v>
      </c>
      <c r="X56" s="20">
        <f t="shared" si="1"/>
        <v>12</v>
      </c>
      <c r="Y56" s="20" t="str">
        <f>INDEX(Risk_Model!$B$30:$B$33,MATCH(X56,Risk_Model!$A$30:$A$33,1))</f>
        <v>High</v>
      </c>
      <c r="Z56" s="20">
        <v>3</v>
      </c>
      <c r="AA56" s="12" t="s">
        <v>1639</v>
      </c>
      <c r="AB56" s="12" t="s">
        <v>1640</v>
      </c>
      <c r="AC56" s="12" t="s">
        <v>1641</v>
      </c>
      <c r="AD56" s="12" t="s">
        <v>1642</v>
      </c>
      <c r="AE56" s="12" t="s">
        <v>1643</v>
      </c>
      <c r="AF56" s="12" t="s">
        <v>1644</v>
      </c>
      <c r="AG56" s="12" t="s">
        <v>1645</v>
      </c>
    </row>
    <row r="57" spans="1:33" ht="62.5" x14ac:dyDescent="0.35">
      <c r="A57" s="17" t="s">
        <v>342</v>
      </c>
      <c r="B57" s="12" t="s">
        <v>66</v>
      </c>
      <c r="C57" s="12" t="s">
        <v>107</v>
      </c>
      <c r="D57" s="12" t="s">
        <v>343</v>
      </c>
      <c r="E57" s="12" t="s">
        <v>186</v>
      </c>
      <c r="F57" s="12" t="s">
        <v>1646</v>
      </c>
      <c r="G57" s="12" t="s">
        <v>1647</v>
      </c>
      <c r="H57" s="12" t="s">
        <v>1648</v>
      </c>
      <c r="I57" s="12" t="s">
        <v>344</v>
      </c>
      <c r="J57" s="12" t="s">
        <v>1028</v>
      </c>
      <c r="K57" s="12" t="s">
        <v>1649</v>
      </c>
      <c r="L57" s="12" t="s">
        <v>1650</v>
      </c>
      <c r="M57" s="20" t="s">
        <v>1031</v>
      </c>
      <c r="N57" s="20" t="s">
        <v>1031</v>
      </c>
      <c r="O57" s="20"/>
      <c r="P57" s="20"/>
      <c r="Q57" s="20"/>
      <c r="R57" s="20"/>
      <c r="S57" s="20"/>
      <c r="T57" s="20" t="s">
        <v>130</v>
      </c>
      <c r="U57" s="12" t="s">
        <v>1651</v>
      </c>
      <c r="V57" s="20">
        <v>3</v>
      </c>
      <c r="W57" s="20">
        <v>3</v>
      </c>
      <c r="X57" s="20">
        <f t="shared" si="1"/>
        <v>9</v>
      </c>
      <c r="Y57" s="20" t="str">
        <f>INDEX(Risk_Model!$B$30:$B$33,MATCH(X57,Risk_Model!$A$30:$A$33,1))</f>
        <v>Medium</v>
      </c>
      <c r="Z57" s="20">
        <v>2</v>
      </c>
      <c r="AA57" s="12" t="s">
        <v>1652</v>
      </c>
      <c r="AB57" s="12" t="s">
        <v>1653</v>
      </c>
      <c r="AC57" s="12" t="s">
        <v>1654</v>
      </c>
      <c r="AD57" s="12" t="s">
        <v>1655</v>
      </c>
      <c r="AE57" s="12" t="s">
        <v>1643</v>
      </c>
      <c r="AF57" s="12" t="s">
        <v>1656</v>
      </c>
      <c r="AG57" s="12" t="s">
        <v>1657</v>
      </c>
    </row>
    <row r="58" spans="1:33" ht="50" x14ac:dyDescent="0.35">
      <c r="A58" s="17" t="s">
        <v>345</v>
      </c>
      <c r="B58" s="12" t="s">
        <v>66</v>
      </c>
      <c r="C58" s="12" t="s">
        <v>107</v>
      </c>
      <c r="D58" s="12" t="s">
        <v>346</v>
      </c>
      <c r="E58" s="12" t="s">
        <v>186</v>
      </c>
      <c r="F58" s="12" t="s">
        <v>1658</v>
      </c>
      <c r="G58" s="12" t="s">
        <v>1659</v>
      </c>
      <c r="H58" s="12" t="s">
        <v>1660</v>
      </c>
      <c r="I58" s="12" t="s">
        <v>347</v>
      </c>
      <c r="J58" s="12" t="s">
        <v>1028</v>
      </c>
      <c r="K58" s="12" t="s">
        <v>1661</v>
      </c>
      <c r="L58" s="12" t="s">
        <v>1662</v>
      </c>
      <c r="M58" s="20" t="s">
        <v>1031</v>
      </c>
      <c r="N58" s="20" t="s">
        <v>1031</v>
      </c>
      <c r="O58" s="20"/>
      <c r="P58" s="20"/>
      <c r="Q58" s="20"/>
      <c r="R58" s="20"/>
      <c r="S58" s="20"/>
      <c r="T58" s="20" t="s">
        <v>131</v>
      </c>
      <c r="U58" s="12" t="s">
        <v>1663</v>
      </c>
      <c r="V58" s="20">
        <v>3</v>
      </c>
      <c r="W58" s="20">
        <v>4</v>
      </c>
      <c r="X58" s="20">
        <f t="shared" si="1"/>
        <v>12</v>
      </c>
      <c r="Y58" s="20" t="str">
        <f>INDEX(Risk_Model!$B$30:$B$33,MATCH(X58,Risk_Model!$A$30:$A$33,1))</f>
        <v>High</v>
      </c>
      <c r="Z58" s="20">
        <v>2</v>
      </c>
      <c r="AA58" s="12" t="s">
        <v>1664</v>
      </c>
      <c r="AB58" s="12" t="s">
        <v>1665</v>
      </c>
      <c r="AC58" s="12" t="s">
        <v>1666</v>
      </c>
      <c r="AD58" s="12" t="s">
        <v>1667</v>
      </c>
      <c r="AE58" s="12" t="s">
        <v>1643</v>
      </c>
      <c r="AF58" s="12" t="s">
        <v>1668</v>
      </c>
      <c r="AG58" s="12" t="s">
        <v>1669</v>
      </c>
    </row>
    <row r="59" spans="1:33" ht="62.5" x14ac:dyDescent="0.35">
      <c r="A59" s="17" t="s">
        <v>348</v>
      </c>
      <c r="B59" s="12" t="s">
        <v>66</v>
      </c>
      <c r="C59" s="12" t="s">
        <v>107</v>
      </c>
      <c r="D59" s="12" t="s">
        <v>349</v>
      </c>
      <c r="E59" s="12" t="s">
        <v>186</v>
      </c>
      <c r="F59" s="12" t="s">
        <v>1670</v>
      </c>
      <c r="G59" s="12" t="s">
        <v>1671</v>
      </c>
      <c r="H59" s="12" t="s">
        <v>1672</v>
      </c>
      <c r="I59" s="12" t="s">
        <v>350</v>
      </c>
      <c r="J59" s="12" t="s">
        <v>1028</v>
      </c>
      <c r="K59" s="12" t="s">
        <v>1673</v>
      </c>
      <c r="L59" s="12" t="s">
        <v>1674</v>
      </c>
      <c r="M59" s="20" t="s">
        <v>1031</v>
      </c>
      <c r="N59" s="20" t="s">
        <v>1031</v>
      </c>
      <c r="O59" s="20"/>
      <c r="P59" s="20"/>
      <c r="Q59" s="20" t="s">
        <v>1031</v>
      </c>
      <c r="R59" s="20"/>
      <c r="S59" s="20"/>
      <c r="T59" s="20" t="s">
        <v>131</v>
      </c>
      <c r="U59" s="12" t="s">
        <v>1675</v>
      </c>
      <c r="V59" s="20">
        <v>3</v>
      </c>
      <c r="W59" s="20">
        <v>4</v>
      </c>
      <c r="X59" s="20">
        <f t="shared" si="1"/>
        <v>12</v>
      </c>
      <c r="Y59" s="20" t="str">
        <f>INDEX(Risk_Model!$B$30:$B$33,MATCH(X59,Risk_Model!$A$30:$A$33,1))</f>
        <v>High</v>
      </c>
      <c r="Z59" s="20">
        <v>2</v>
      </c>
      <c r="AA59" s="12" t="s">
        <v>1676</v>
      </c>
      <c r="AB59" s="12" t="s">
        <v>1677</v>
      </c>
      <c r="AC59" s="12" t="s">
        <v>1678</v>
      </c>
      <c r="AD59" s="12" t="s">
        <v>1679</v>
      </c>
      <c r="AE59" s="12" t="s">
        <v>1643</v>
      </c>
      <c r="AF59" s="12" t="s">
        <v>1680</v>
      </c>
      <c r="AG59" s="12" t="s">
        <v>1681</v>
      </c>
    </row>
    <row r="60" spans="1:33" ht="75" x14ac:dyDescent="0.35">
      <c r="A60" s="17" t="s">
        <v>351</v>
      </c>
      <c r="B60" s="12" t="s">
        <v>66</v>
      </c>
      <c r="C60" s="12" t="s">
        <v>108</v>
      </c>
      <c r="D60" s="12" t="s">
        <v>352</v>
      </c>
      <c r="E60" s="12" t="s">
        <v>58</v>
      </c>
      <c r="F60" s="12" t="s">
        <v>1682</v>
      </c>
      <c r="G60" s="12" t="s">
        <v>1683</v>
      </c>
      <c r="H60" s="12" t="s">
        <v>1684</v>
      </c>
      <c r="I60" s="12" t="s">
        <v>353</v>
      </c>
      <c r="J60" s="12" t="s">
        <v>1028</v>
      </c>
      <c r="K60" s="12" t="s">
        <v>1685</v>
      </c>
      <c r="L60" s="12" t="s">
        <v>1686</v>
      </c>
      <c r="M60" s="20"/>
      <c r="N60" s="20"/>
      <c r="O60" s="20" t="s">
        <v>1031</v>
      </c>
      <c r="P60" s="20"/>
      <c r="Q60" s="20" t="s">
        <v>1031</v>
      </c>
      <c r="R60" s="20"/>
      <c r="S60" s="20" t="s">
        <v>1031</v>
      </c>
      <c r="T60" s="20" t="s">
        <v>130</v>
      </c>
      <c r="U60" s="12" t="s">
        <v>1687</v>
      </c>
      <c r="V60" s="20">
        <v>3</v>
      </c>
      <c r="W60" s="20">
        <v>5</v>
      </c>
      <c r="X60" s="20">
        <f t="shared" si="1"/>
        <v>15</v>
      </c>
      <c r="Y60" s="20" t="str">
        <f>INDEX(Risk_Model!$B$30:$B$33,MATCH(X60,Risk_Model!$A$30:$A$33,1))</f>
        <v>High</v>
      </c>
      <c r="Z60" s="20">
        <v>3</v>
      </c>
      <c r="AA60" s="12" t="s">
        <v>1688</v>
      </c>
      <c r="AB60" s="12" t="s">
        <v>1689</v>
      </c>
      <c r="AC60" s="12" t="s">
        <v>1690</v>
      </c>
      <c r="AD60" s="12" t="s">
        <v>1691</v>
      </c>
      <c r="AE60" s="12" t="s">
        <v>1692</v>
      </c>
      <c r="AF60" s="12" t="s">
        <v>1693</v>
      </c>
      <c r="AG60" s="12" t="s">
        <v>1051</v>
      </c>
    </row>
    <row r="61" spans="1:33" ht="87.5" x14ac:dyDescent="0.35">
      <c r="A61" s="17" t="s">
        <v>354</v>
      </c>
      <c r="B61" s="12" t="s">
        <v>66</v>
      </c>
      <c r="C61" s="12" t="s">
        <v>108</v>
      </c>
      <c r="D61" s="12" t="s">
        <v>355</v>
      </c>
      <c r="E61" s="12" t="s">
        <v>58</v>
      </c>
      <c r="F61" s="12" t="s">
        <v>1694</v>
      </c>
      <c r="G61" s="12" t="s">
        <v>1695</v>
      </c>
      <c r="H61" s="12" t="s">
        <v>1696</v>
      </c>
      <c r="I61" s="12" t="s">
        <v>356</v>
      </c>
      <c r="J61" s="12" t="s">
        <v>1028</v>
      </c>
      <c r="K61" s="12" t="s">
        <v>1697</v>
      </c>
      <c r="L61" s="12" t="s">
        <v>1698</v>
      </c>
      <c r="M61" s="20"/>
      <c r="N61" s="20"/>
      <c r="O61" s="20" t="s">
        <v>1031</v>
      </c>
      <c r="P61" s="20"/>
      <c r="Q61" s="20" t="s">
        <v>1031</v>
      </c>
      <c r="R61" s="20" t="s">
        <v>1031</v>
      </c>
      <c r="S61" s="20"/>
      <c r="T61" s="20" t="s">
        <v>129</v>
      </c>
      <c r="U61" s="12" t="s">
        <v>1699</v>
      </c>
      <c r="V61" s="20">
        <v>4</v>
      </c>
      <c r="W61" s="20">
        <v>5</v>
      </c>
      <c r="X61" s="20">
        <f t="shared" si="1"/>
        <v>20</v>
      </c>
      <c r="Y61" s="20" t="str">
        <f>INDEX(Risk_Model!$B$30:$B$33,MATCH(X61,Risk_Model!$A$30:$A$33,1))</f>
        <v>Critical</v>
      </c>
      <c r="Z61" s="20">
        <v>3</v>
      </c>
      <c r="AA61" s="12" t="s">
        <v>1700</v>
      </c>
      <c r="AB61" s="12" t="s">
        <v>1701</v>
      </c>
      <c r="AC61" s="12" t="s">
        <v>1702</v>
      </c>
      <c r="AD61" s="12" t="s">
        <v>1703</v>
      </c>
      <c r="AE61" s="12" t="s">
        <v>1692</v>
      </c>
      <c r="AF61" s="12" t="s">
        <v>1704</v>
      </c>
      <c r="AG61" s="12" t="s">
        <v>1051</v>
      </c>
    </row>
    <row r="62" spans="1:33" ht="75" x14ac:dyDescent="0.35">
      <c r="A62" s="17" t="s">
        <v>357</v>
      </c>
      <c r="B62" s="12" t="s">
        <v>66</v>
      </c>
      <c r="C62" s="12" t="s">
        <v>108</v>
      </c>
      <c r="D62" s="12" t="s">
        <v>358</v>
      </c>
      <c r="E62" s="12" t="s">
        <v>58</v>
      </c>
      <c r="F62" s="12" t="s">
        <v>1705</v>
      </c>
      <c r="G62" s="12" t="s">
        <v>1706</v>
      </c>
      <c r="H62" s="12" t="s">
        <v>1707</v>
      </c>
      <c r="I62" s="12" t="s">
        <v>359</v>
      </c>
      <c r="J62" s="12" t="s">
        <v>1028</v>
      </c>
      <c r="K62" s="12" t="s">
        <v>1708</v>
      </c>
      <c r="L62" s="12" t="s">
        <v>1709</v>
      </c>
      <c r="M62" s="20"/>
      <c r="N62" s="20"/>
      <c r="O62" s="20" t="s">
        <v>1031</v>
      </c>
      <c r="P62" s="20"/>
      <c r="Q62" s="20" t="s">
        <v>1031</v>
      </c>
      <c r="R62" s="20" t="s">
        <v>1031</v>
      </c>
      <c r="S62" s="20"/>
      <c r="T62" s="20" t="s">
        <v>130</v>
      </c>
      <c r="U62" s="12" t="s">
        <v>1710</v>
      </c>
      <c r="V62" s="20">
        <v>2</v>
      </c>
      <c r="W62" s="20">
        <v>4</v>
      </c>
      <c r="X62" s="20">
        <f t="shared" si="1"/>
        <v>8</v>
      </c>
      <c r="Y62" s="20" t="str">
        <f>INDEX(Risk_Model!$B$30:$B$33,MATCH(X62,Risk_Model!$A$30:$A$33,1))</f>
        <v>Medium</v>
      </c>
      <c r="Z62" s="20">
        <v>2</v>
      </c>
      <c r="AA62" s="12" t="s">
        <v>1711</v>
      </c>
      <c r="AB62" s="12" t="s">
        <v>1712</v>
      </c>
      <c r="AC62" s="12" t="s">
        <v>1713</v>
      </c>
      <c r="AD62" s="12" t="s">
        <v>1714</v>
      </c>
      <c r="AE62" s="12" t="s">
        <v>1692</v>
      </c>
      <c r="AF62" s="12" t="s">
        <v>1715</v>
      </c>
      <c r="AG62" s="12" t="s">
        <v>1051</v>
      </c>
    </row>
    <row r="63" spans="1:33" ht="87.5" x14ac:dyDescent="0.35">
      <c r="A63" s="17" t="s">
        <v>360</v>
      </c>
      <c r="B63" s="12" t="s">
        <v>66</v>
      </c>
      <c r="C63" s="12" t="s">
        <v>108</v>
      </c>
      <c r="D63" s="12" t="s">
        <v>361</v>
      </c>
      <c r="E63" s="12" t="s">
        <v>58</v>
      </c>
      <c r="F63" s="12" t="s">
        <v>1716</v>
      </c>
      <c r="G63" s="12" t="s">
        <v>1717</v>
      </c>
      <c r="H63" s="12" t="s">
        <v>1718</v>
      </c>
      <c r="I63" s="12" t="s">
        <v>362</v>
      </c>
      <c r="J63" s="12" t="s">
        <v>1028</v>
      </c>
      <c r="K63" s="12" t="s">
        <v>1719</v>
      </c>
      <c r="L63" s="12" t="s">
        <v>1720</v>
      </c>
      <c r="M63" s="20"/>
      <c r="N63" s="20"/>
      <c r="O63" s="20" t="s">
        <v>1031</v>
      </c>
      <c r="P63" s="20"/>
      <c r="Q63" s="20" t="s">
        <v>1031</v>
      </c>
      <c r="R63" s="20"/>
      <c r="S63" s="20"/>
      <c r="T63" s="20" t="s">
        <v>130</v>
      </c>
      <c r="U63" s="12" t="s">
        <v>1721</v>
      </c>
      <c r="V63" s="20">
        <v>3</v>
      </c>
      <c r="W63" s="20">
        <v>4</v>
      </c>
      <c r="X63" s="20">
        <f t="shared" si="1"/>
        <v>12</v>
      </c>
      <c r="Y63" s="20" t="str">
        <f>INDEX(Risk_Model!$B$30:$B$33,MATCH(X63,Risk_Model!$A$30:$A$33,1))</f>
        <v>High</v>
      </c>
      <c r="Z63" s="20">
        <v>2</v>
      </c>
      <c r="AA63" s="12" t="s">
        <v>1722</v>
      </c>
      <c r="AB63" s="12" t="s">
        <v>1723</v>
      </c>
      <c r="AC63" s="12" t="s">
        <v>1724</v>
      </c>
      <c r="AD63" s="12" t="s">
        <v>1725</v>
      </c>
      <c r="AE63" s="12" t="s">
        <v>1692</v>
      </c>
      <c r="AF63" s="12" t="s">
        <v>1726</v>
      </c>
      <c r="AG63" s="12" t="s">
        <v>1051</v>
      </c>
    </row>
    <row r="64" spans="1:33" ht="100" x14ac:dyDescent="0.35">
      <c r="A64" s="17" t="s">
        <v>363</v>
      </c>
      <c r="B64" s="12" t="s">
        <v>66</v>
      </c>
      <c r="C64" s="12" t="s">
        <v>108</v>
      </c>
      <c r="D64" s="12" t="s">
        <v>364</v>
      </c>
      <c r="E64" s="12" t="s">
        <v>58</v>
      </c>
      <c r="F64" s="12" t="s">
        <v>1727</v>
      </c>
      <c r="G64" s="12" t="s">
        <v>1728</v>
      </c>
      <c r="H64" s="12" t="s">
        <v>1729</v>
      </c>
      <c r="I64" s="12" t="s">
        <v>365</v>
      </c>
      <c r="J64" s="12" t="s">
        <v>1090</v>
      </c>
      <c r="K64" s="12" t="s">
        <v>1730</v>
      </c>
      <c r="L64" s="12" t="s">
        <v>1731</v>
      </c>
      <c r="M64" s="20"/>
      <c r="N64" s="20"/>
      <c r="O64" s="20" t="s">
        <v>1031</v>
      </c>
      <c r="P64" s="20"/>
      <c r="Q64" s="20" t="s">
        <v>1031</v>
      </c>
      <c r="R64" s="20" t="s">
        <v>1031</v>
      </c>
      <c r="S64" s="20"/>
      <c r="T64" s="20" t="s">
        <v>130</v>
      </c>
      <c r="U64" s="12" t="s">
        <v>1732</v>
      </c>
      <c r="V64" s="20">
        <v>3</v>
      </c>
      <c r="W64" s="20">
        <v>5</v>
      </c>
      <c r="X64" s="20">
        <f t="shared" si="1"/>
        <v>15</v>
      </c>
      <c r="Y64" s="20" t="str">
        <f>INDEX(Risk_Model!$B$30:$B$33,MATCH(X64,Risk_Model!$A$30:$A$33,1))</f>
        <v>High</v>
      </c>
      <c r="Z64" s="20">
        <v>3</v>
      </c>
      <c r="AA64" s="12" t="s">
        <v>1733</v>
      </c>
      <c r="AB64" s="12" t="s">
        <v>1734</v>
      </c>
      <c r="AC64" s="12" t="s">
        <v>1735</v>
      </c>
      <c r="AD64" s="12" t="s">
        <v>1736</v>
      </c>
      <c r="AE64" s="12" t="s">
        <v>1692</v>
      </c>
      <c r="AF64" s="12" t="s">
        <v>1737</v>
      </c>
      <c r="AG64" s="12" t="s">
        <v>1051</v>
      </c>
    </row>
  </sheetData>
  <autoFilter ref="A4:AG64" xr:uid="{00000000-0009-0000-0000-00000B000000}"/>
  <conditionalFormatting sqref="Y5:Y64">
    <cfRule type="cellIs" dxfId="3" priority="2" operator="equal">
      <formula>"Low"</formula>
    </cfRule>
    <cfRule type="cellIs" dxfId="2" priority="3" operator="equal">
      <formula>"Medium"</formula>
    </cfRule>
    <cfRule type="cellIs" dxfId="1" priority="4" operator="equal">
      <formula>"High"</formula>
    </cfRule>
    <cfRule type="cellIs" dxfId="0" priority="5" operator="equal">
      <formula>"Critical"</formula>
    </cfRule>
  </conditionalFormatting>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sheetPr>
  <dimension ref="A1:M66"/>
  <sheetViews>
    <sheetView zoomScaleNormal="100" workbookViewId="0">
      <pane xSplit="2" ySplit="4" topLeftCell="C40" activePane="bottomRight" state="frozen"/>
      <selection pane="topRight" activeCell="C1" sqref="C1"/>
      <selection pane="bottomLeft" activeCell="A5" sqref="A5"/>
      <selection pane="bottomRight"/>
    </sheetView>
  </sheetViews>
  <sheetFormatPr defaultColWidth="8.6328125" defaultRowHeight="14.5" x14ac:dyDescent="0.35"/>
  <cols>
    <col min="1" max="1" width="14" customWidth="1"/>
    <col min="2" max="2" width="40" customWidth="1"/>
    <col min="3" max="3" width="16" customWidth="1"/>
    <col min="4" max="4" width="24" customWidth="1"/>
    <col min="5" max="5" width="20" customWidth="1"/>
    <col min="6" max="6" width="24" customWidth="1"/>
    <col min="7" max="7" width="14" customWidth="1"/>
    <col min="8" max="8" width="18" customWidth="1"/>
    <col min="9" max="9" width="14" customWidth="1"/>
    <col min="10" max="10" width="18" customWidth="1"/>
    <col min="11" max="12" width="16" customWidth="1"/>
    <col min="13" max="13" width="18" customWidth="1"/>
  </cols>
  <sheetData>
    <row r="1" spans="1:13" ht="20" x14ac:dyDescent="0.4">
      <c r="A1" s="8" t="s">
        <v>1738</v>
      </c>
    </row>
    <row r="2" spans="1:13" x14ac:dyDescent="0.35">
      <c r="A2" s="6" t="s">
        <v>1739</v>
      </c>
    </row>
    <row r="4" spans="1:13" ht="39.75" customHeight="1" x14ac:dyDescent="0.35">
      <c r="A4" s="11" t="s">
        <v>134</v>
      </c>
      <c r="B4" s="11" t="s">
        <v>164</v>
      </c>
      <c r="C4" s="11" t="s">
        <v>1740</v>
      </c>
      <c r="D4" s="11" t="s">
        <v>1741</v>
      </c>
      <c r="E4" s="11" t="s">
        <v>1742</v>
      </c>
      <c r="F4" s="11" t="s">
        <v>1743</v>
      </c>
      <c r="G4" s="11" t="s">
        <v>1744</v>
      </c>
      <c r="H4" s="11" t="s">
        <v>1745</v>
      </c>
      <c r="I4" s="11" t="s">
        <v>1746</v>
      </c>
      <c r="J4" s="11" t="s">
        <v>1747</v>
      </c>
      <c r="K4" s="11" t="s">
        <v>1748</v>
      </c>
      <c r="L4" s="11" t="s">
        <v>1749</v>
      </c>
      <c r="M4" s="11" t="s">
        <v>1750</v>
      </c>
    </row>
    <row r="5" spans="1:13" ht="25" x14ac:dyDescent="0.35">
      <c r="A5" s="17" t="s">
        <v>185</v>
      </c>
      <c r="B5" s="12" t="s">
        <v>187</v>
      </c>
      <c r="C5" s="12" t="s">
        <v>1751</v>
      </c>
      <c r="D5" s="12" t="s">
        <v>1752</v>
      </c>
      <c r="E5" s="12" t="s">
        <v>1753</v>
      </c>
      <c r="F5" s="12" t="s">
        <v>1754</v>
      </c>
      <c r="G5" s="12" t="s">
        <v>1755</v>
      </c>
      <c r="H5" s="12" t="s">
        <v>1755</v>
      </c>
      <c r="I5" s="12" t="s">
        <v>1756</v>
      </c>
      <c r="J5" s="12" t="s">
        <v>1757</v>
      </c>
      <c r="K5" s="12" t="s">
        <v>1755</v>
      </c>
      <c r="L5" s="12" t="s">
        <v>1755</v>
      </c>
      <c r="M5" s="12" t="s">
        <v>1755</v>
      </c>
    </row>
    <row r="6" spans="1:13" ht="25" x14ac:dyDescent="0.35">
      <c r="A6" s="17" t="s">
        <v>189</v>
      </c>
      <c r="B6" s="12" t="s">
        <v>190</v>
      </c>
      <c r="C6" s="12" t="s">
        <v>1751</v>
      </c>
      <c r="D6" s="12" t="s">
        <v>1758</v>
      </c>
      <c r="E6" s="12" t="s">
        <v>1753</v>
      </c>
      <c r="F6" s="12" t="s">
        <v>1759</v>
      </c>
      <c r="G6" s="12" t="s">
        <v>1760</v>
      </c>
      <c r="H6" s="12" t="s">
        <v>1761</v>
      </c>
      <c r="I6" s="12" t="s">
        <v>1756</v>
      </c>
      <c r="J6" s="12" t="s">
        <v>1762</v>
      </c>
      <c r="K6" s="12" t="s">
        <v>1755</v>
      </c>
      <c r="L6" s="12" t="s">
        <v>1755</v>
      </c>
      <c r="M6" s="12" t="s">
        <v>1755</v>
      </c>
    </row>
    <row r="7" spans="1:13" ht="25" x14ac:dyDescent="0.35">
      <c r="A7" s="17" t="s">
        <v>192</v>
      </c>
      <c r="B7" s="12" t="s">
        <v>193</v>
      </c>
      <c r="C7" s="12" t="s">
        <v>1751</v>
      </c>
      <c r="D7" s="12" t="s">
        <v>1763</v>
      </c>
      <c r="E7" s="12" t="s">
        <v>1753</v>
      </c>
      <c r="F7" s="12" t="s">
        <v>1764</v>
      </c>
      <c r="G7" s="12" t="s">
        <v>1765</v>
      </c>
      <c r="H7" s="12" t="s">
        <v>1766</v>
      </c>
      <c r="I7" s="12" t="s">
        <v>1756</v>
      </c>
      <c r="J7" s="12" t="s">
        <v>1767</v>
      </c>
      <c r="K7" s="12" t="s">
        <v>1755</v>
      </c>
      <c r="L7" s="12" t="s">
        <v>1755</v>
      </c>
      <c r="M7" s="12" t="s">
        <v>1755</v>
      </c>
    </row>
    <row r="8" spans="1:13" ht="25" x14ac:dyDescent="0.35">
      <c r="A8" s="17" t="s">
        <v>195</v>
      </c>
      <c r="B8" s="12" t="s">
        <v>196</v>
      </c>
      <c r="C8" s="12" t="s">
        <v>1751</v>
      </c>
      <c r="D8" s="12" t="s">
        <v>1768</v>
      </c>
      <c r="E8" s="12" t="s">
        <v>1769</v>
      </c>
      <c r="F8" s="12" t="s">
        <v>1770</v>
      </c>
      <c r="G8" s="12" t="s">
        <v>1771</v>
      </c>
      <c r="H8" s="12" t="s">
        <v>1255</v>
      </c>
      <c r="I8" s="12" t="s">
        <v>1756</v>
      </c>
      <c r="J8" s="12" t="s">
        <v>1772</v>
      </c>
      <c r="K8" s="12" t="s">
        <v>1755</v>
      </c>
      <c r="L8" s="12" t="s">
        <v>1755</v>
      </c>
      <c r="M8" s="12" t="s">
        <v>1755</v>
      </c>
    </row>
    <row r="9" spans="1:13" ht="25" x14ac:dyDescent="0.35">
      <c r="A9" s="17" t="s">
        <v>198</v>
      </c>
      <c r="B9" s="12" t="s">
        <v>199</v>
      </c>
      <c r="C9" s="12" t="s">
        <v>1751</v>
      </c>
      <c r="D9" s="12" t="s">
        <v>1773</v>
      </c>
      <c r="E9" s="12" t="s">
        <v>1753</v>
      </c>
      <c r="F9" s="12" t="s">
        <v>1764</v>
      </c>
      <c r="G9" s="12" t="s">
        <v>1774</v>
      </c>
      <c r="H9" s="12" t="s">
        <v>1775</v>
      </c>
      <c r="I9" s="12" t="s">
        <v>1776</v>
      </c>
      <c r="J9" s="12" t="s">
        <v>1777</v>
      </c>
      <c r="K9" s="12" t="s">
        <v>1778</v>
      </c>
      <c r="L9" s="12" t="s">
        <v>1779</v>
      </c>
      <c r="M9" s="12" t="s">
        <v>1780</v>
      </c>
    </row>
    <row r="10" spans="1:13" ht="25" x14ac:dyDescent="0.35">
      <c r="A10" s="17" t="s">
        <v>201</v>
      </c>
      <c r="B10" s="12" t="s">
        <v>202</v>
      </c>
      <c r="C10" s="12" t="s">
        <v>1751</v>
      </c>
      <c r="D10" s="12" t="s">
        <v>1781</v>
      </c>
      <c r="E10" s="12" t="s">
        <v>1782</v>
      </c>
      <c r="F10" s="12" t="s">
        <v>1783</v>
      </c>
      <c r="G10" s="12" t="s">
        <v>1774</v>
      </c>
      <c r="H10" s="12" t="s">
        <v>1775</v>
      </c>
      <c r="I10" s="12" t="s">
        <v>1784</v>
      </c>
      <c r="J10" s="12" t="s">
        <v>1785</v>
      </c>
      <c r="K10" s="12" t="s">
        <v>1755</v>
      </c>
      <c r="L10" s="12" t="s">
        <v>1755</v>
      </c>
      <c r="M10" s="12" t="s">
        <v>1780</v>
      </c>
    </row>
    <row r="11" spans="1:13" ht="25" x14ac:dyDescent="0.35">
      <c r="A11" s="17" t="s">
        <v>204</v>
      </c>
      <c r="B11" s="12" t="s">
        <v>205</v>
      </c>
      <c r="C11" s="12" t="s">
        <v>1751</v>
      </c>
      <c r="D11" s="12" t="s">
        <v>1786</v>
      </c>
      <c r="E11" s="12" t="s">
        <v>1753</v>
      </c>
      <c r="F11" s="12" t="s">
        <v>1764</v>
      </c>
      <c r="G11" s="12" t="s">
        <v>1774</v>
      </c>
      <c r="H11" s="12" t="s">
        <v>1787</v>
      </c>
      <c r="I11" s="12" t="s">
        <v>1756</v>
      </c>
      <c r="J11" s="12" t="s">
        <v>1762</v>
      </c>
      <c r="K11" s="12" t="s">
        <v>1778</v>
      </c>
      <c r="L11" s="12" t="s">
        <v>1779</v>
      </c>
      <c r="M11" s="12" t="s">
        <v>1780</v>
      </c>
    </row>
    <row r="12" spans="1:13" ht="25" x14ac:dyDescent="0.35">
      <c r="A12" s="17" t="s">
        <v>207</v>
      </c>
      <c r="B12" s="12" t="s">
        <v>208</v>
      </c>
      <c r="C12" s="12" t="s">
        <v>1751</v>
      </c>
      <c r="D12" s="12" t="s">
        <v>1788</v>
      </c>
      <c r="E12" s="12" t="s">
        <v>1789</v>
      </c>
      <c r="F12" s="12" t="s">
        <v>1790</v>
      </c>
      <c r="G12" s="12" t="s">
        <v>1755</v>
      </c>
      <c r="H12" s="12" t="s">
        <v>1755</v>
      </c>
      <c r="I12" s="12" t="s">
        <v>1756</v>
      </c>
      <c r="J12" s="12" t="s">
        <v>1791</v>
      </c>
      <c r="K12" s="12" t="s">
        <v>1755</v>
      </c>
      <c r="L12" s="12" t="s">
        <v>1755</v>
      </c>
      <c r="M12" s="12" t="s">
        <v>1780</v>
      </c>
    </row>
    <row r="13" spans="1:13" x14ac:dyDescent="0.35">
      <c r="A13" s="17" t="s">
        <v>210</v>
      </c>
      <c r="B13" s="12" t="s">
        <v>211</v>
      </c>
      <c r="C13" s="12" t="s">
        <v>1751</v>
      </c>
      <c r="D13" s="12" t="s">
        <v>1773</v>
      </c>
      <c r="E13" s="12" t="s">
        <v>1753</v>
      </c>
      <c r="F13" s="12" t="s">
        <v>1792</v>
      </c>
      <c r="G13" s="12" t="s">
        <v>1774</v>
      </c>
      <c r="H13" s="12" t="s">
        <v>1775</v>
      </c>
      <c r="I13" s="12" t="s">
        <v>1756</v>
      </c>
      <c r="J13" s="12" t="s">
        <v>1793</v>
      </c>
      <c r="K13" s="12" t="s">
        <v>1755</v>
      </c>
      <c r="L13" s="12" t="s">
        <v>1755</v>
      </c>
      <c r="M13" s="12" t="s">
        <v>1780</v>
      </c>
    </row>
    <row r="14" spans="1:13" ht="25" x14ac:dyDescent="0.35">
      <c r="A14" s="17" t="s">
        <v>213</v>
      </c>
      <c r="B14" s="12" t="s">
        <v>214</v>
      </c>
      <c r="C14" s="12" t="s">
        <v>1751</v>
      </c>
      <c r="D14" s="12" t="s">
        <v>1794</v>
      </c>
      <c r="E14" s="12" t="s">
        <v>1753</v>
      </c>
      <c r="F14" s="12" t="s">
        <v>1764</v>
      </c>
      <c r="G14" s="12" t="s">
        <v>1774</v>
      </c>
      <c r="H14" s="12" t="s">
        <v>1775</v>
      </c>
      <c r="I14" s="12" t="s">
        <v>1795</v>
      </c>
      <c r="J14" s="12" t="s">
        <v>1796</v>
      </c>
      <c r="K14" s="12" t="s">
        <v>1755</v>
      </c>
      <c r="L14" s="12" t="s">
        <v>1755</v>
      </c>
      <c r="M14" s="12" t="s">
        <v>1780</v>
      </c>
    </row>
    <row r="15" spans="1:13" ht="25" x14ac:dyDescent="0.35">
      <c r="A15" s="17" t="s">
        <v>216</v>
      </c>
      <c r="B15" s="12" t="s">
        <v>217</v>
      </c>
      <c r="C15" s="12" t="s">
        <v>1751</v>
      </c>
      <c r="D15" s="12" t="s">
        <v>1797</v>
      </c>
      <c r="E15" s="12" t="s">
        <v>1753</v>
      </c>
      <c r="F15" s="12" t="s">
        <v>1798</v>
      </c>
      <c r="G15" s="12" t="s">
        <v>1799</v>
      </c>
      <c r="H15" s="12" t="s">
        <v>1800</v>
      </c>
      <c r="I15" s="12" t="s">
        <v>1756</v>
      </c>
      <c r="J15" s="12" t="s">
        <v>1793</v>
      </c>
      <c r="K15" s="12" t="s">
        <v>1755</v>
      </c>
      <c r="L15" s="12" t="s">
        <v>1755</v>
      </c>
      <c r="M15" s="12" t="s">
        <v>1780</v>
      </c>
    </row>
    <row r="16" spans="1:13" ht="25" x14ac:dyDescent="0.35">
      <c r="A16" s="17" t="s">
        <v>219</v>
      </c>
      <c r="B16" s="12" t="s">
        <v>220</v>
      </c>
      <c r="C16" s="12" t="s">
        <v>1751</v>
      </c>
      <c r="D16" s="12" t="s">
        <v>1801</v>
      </c>
      <c r="E16" s="12" t="s">
        <v>1769</v>
      </c>
      <c r="F16" s="12" t="s">
        <v>1802</v>
      </c>
      <c r="G16" s="12" t="s">
        <v>1803</v>
      </c>
      <c r="H16" s="12" t="s">
        <v>1804</v>
      </c>
      <c r="I16" s="12" t="s">
        <v>1784</v>
      </c>
      <c r="J16" s="12" t="s">
        <v>1785</v>
      </c>
      <c r="K16" s="12" t="s">
        <v>1755</v>
      </c>
      <c r="L16" s="12" t="s">
        <v>1805</v>
      </c>
      <c r="M16" s="12" t="s">
        <v>1780</v>
      </c>
    </row>
    <row r="17" spans="1:13" ht="25" x14ac:dyDescent="0.35">
      <c r="A17" s="17" t="s">
        <v>222</v>
      </c>
      <c r="B17" s="12" t="s">
        <v>223</v>
      </c>
      <c r="C17" s="12" t="s">
        <v>1751</v>
      </c>
      <c r="D17" s="12" t="s">
        <v>1806</v>
      </c>
      <c r="E17" s="12" t="s">
        <v>1769</v>
      </c>
      <c r="F17" s="12" t="s">
        <v>1802</v>
      </c>
      <c r="G17" s="12" t="s">
        <v>1803</v>
      </c>
      <c r="H17" s="12" t="s">
        <v>1807</v>
      </c>
      <c r="I17" s="12" t="s">
        <v>1784</v>
      </c>
      <c r="J17" s="12" t="s">
        <v>1785</v>
      </c>
      <c r="K17" s="12" t="s">
        <v>1755</v>
      </c>
      <c r="L17" s="12" t="s">
        <v>1755</v>
      </c>
      <c r="M17" s="12" t="s">
        <v>1780</v>
      </c>
    </row>
    <row r="18" spans="1:13" ht="25" x14ac:dyDescent="0.35">
      <c r="A18" s="17" t="s">
        <v>225</v>
      </c>
      <c r="B18" s="12" t="s">
        <v>226</v>
      </c>
      <c r="C18" s="12" t="s">
        <v>1751</v>
      </c>
      <c r="D18" s="12" t="s">
        <v>1808</v>
      </c>
      <c r="E18" s="12" t="s">
        <v>1769</v>
      </c>
      <c r="F18" s="12" t="s">
        <v>1809</v>
      </c>
      <c r="G18" s="12" t="s">
        <v>1799</v>
      </c>
      <c r="H18" s="12" t="s">
        <v>1194</v>
      </c>
      <c r="I18" s="12" t="s">
        <v>1784</v>
      </c>
      <c r="J18" s="12" t="s">
        <v>1785</v>
      </c>
      <c r="K18" s="12" t="s">
        <v>1755</v>
      </c>
      <c r="L18" s="12" t="s">
        <v>1805</v>
      </c>
      <c r="M18" s="12" t="s">
        <v>1780</v>
      </c>
    </row>
    <row r="19" spans="1:13" ht="25" x14ac:dyDescent="0.35">
      <c r="A19" s="17" t="s">
        <v>228</v>
      </c>
      <c r="B19" s="12" t="s">
        <v>229</v>
      </c>
      <c r="C19" s="12" t="s">
        <v>1751</v>
      </c>
      <c r="D19" s="12" t="s">
        <v>1810</v>
      </c>
      <c r="E19" s="12" t="s">
        <v>1811</v>
      </c>
      <c r="F19" s="12" t="s">
        <v>1812</v>
      </c>
      <c r="G19" s="12" t="s">
        <v>1803</v>
      </c>
      <c r="H19" s="12" t="s">
        <v>1813</v>
      </c>
      <c r="I19" s="12" t="s">
        <v>1784</v>
      </c>
      <c r="J19" s="12" t="s">
        <v>1785</v>
      </c>
      <c r="K19" s="12" t="s">
        <v>1755</v>
      </c>
      <c r="L19" s="12" t="s">
        <v>1755</v>
      </c>
      <c r="M19" s="12" t="s">
        <v>1780</v>
      </c>
    </row>
    <row r="20" spans="1:13" ht="25" x14ac:dyDescent="0.35">
      <c r="A20" s="17" t="s">
        <v>231</v>
      </c>
      <c r="B20" s="12" t="s">
        <v>232</v>
      </c>
      <c r="C20" s="12" t="s">
        <v>1751</v>
      </c>
      <c r="D20" s="12" t="s">
        <v>1814</v>
      </c>
      <c r="E20" s="12" t="s">
        <v>1753</v>
      </c>
      <c r="F20" s="12" t="s">
        <v>1815</v>
      </c>
      <c r="G20" s="12" t="s">
        <v>1803</v>
      </c>
      <c r="H20" s="12" t="s">
        <v>1816</v>
      </c>
      <c r="I20" s="12" t="s">
        <v>1784</v>
      </c>
      <c r="J20" s="12" t="s">
        <v>1785</v>
      </c>
      <c r="K20" s="12" t="s">
        <v>1755</v>
      </c>
      <c r="L20" s="12" t="s">
        <v>1755</v>
      </c>
      <c r="M20" s="12" t="s">
        <v>1780</v>
      </c>
    </row>
    <row r="21" spans="1:13" ht="25" x14ac:dyDescent="0.35">
      <c r="A21" s="17" t="s">
        <v>234</v>
      </c>
      <c r="B21" s="12" t="s">
        <v>235</v>
      </c>
      <c r="C21" s="12" t="s">
        <v>1817</v>
      </c>
      <c r="D21" s="12" t="s">
        <v>1818</v>
      </c>
      <c r="E21" s="12" t="s">
        <v>1782</v>
      </c>
      <c r="F21" s="12" t="s">
        <v>1819</v>
      </c>
      <c r="G21" s="12" t="s">
        <v>1820</v>
      </c>
      <c r="H21" s="12" t="s">
        <v>1821</v>
      </c>
      <c r="I21" s="12" t="s">
        <v>1784</v>
      </c>
      <c r="J21" s="12" t="s">
        <v>1822</v>
      </c>
      <c r="K21" s="12" t="s">
        <v>1755</v>
      </c>
      <c r="L21" s="12" t="s">
        <v>1823</v>
      </c>
      <c r="M21" s="12" t="s">
        <v>1780</v>
      </c>
    </row>
    <row r="22" spans="1:13" ht="25" x14ac:dyDescent="0.35">
      <c r="A22" s="17" t="s">
        <v>237</v>
      </c>
      <c r="B22" s="12" t="s">
        <v>238</v>
      </c>
      <c r="C22" s="12" t="s">
        <v>1817</v>
      </c>
      <c r="D22" s="12" t="s">
        <v>1818</v>
      </c>
      <c r="E22" s="12" t="s">
        <v>1782</v>
      </c>
      <c r="F22" s="12" t="s">
        <v>1824</v>
      </c>
      <c r="G22" s="12" t="s">
        <v>1825</v>
      </c>
      <c r="H22" s="12" t="s">
        <v>1826</v>
      </c>
      <c r="I22" s="12" t="s">
        <v>1784</v>
      </c>
      <c r="J22" s="12" t="s">
        <v>1822</v>
      </c>
      <c r="K22" s="12" t="s">
        <v>1755</v>
      </c>
      <c r="L22" s="12" t="s">
        <v>1823</v>
      </c>
      <c r="M22" s="12" t="s">
        <v>1780</v>
      </c>
    </row>
    <row r="23" spans="1:13" ht="25" x14ac:dyDescent="0.35">
      <c r="A23" s="17" t="s">
        <v>240</v>
      </c>
      <c r="B23" s="12" t="s">
        <v>241</v>
      </c>
      <c r="C23" s="12" t="s">
        <v>1817</v>
      </c>
      <c r="D23" s="12" t="s">
        <v>1827</v>
      </c>
      <c r="E23" s="12" t="s">
        <v>1753</v>
      </c>
      <c r="F23" s="12" t="s">
        <v>1828</v>
      </c>
      <c r="G23" s="12" t="s">
        <v>1820</v>
      </c>
      <c r="H23" s="12" t="s">
        <v>1829</v>
      </c>
      <c r="I23" s="12" t="s">
        <v>1784</v>
      </c>
      <c r="J23" s="12" t="s">
        <v>1822</v>
      </c>
      <c r="K23" s="12" t="s">
        <v>1755</v>
      </c>
      <c r="L23" s="12" t="s">
        <v>1755</v>
      </c>
      <c r="M23" s="12" t="s">
        <v>1780</v>
      </c>
    </row>
    <row r="24" spans="1:13" ht="25" x14ac:dyDescent="0.35">
      <c r="A24" s="17" t="s">
        <v>243</v>
      </c>
      <c r="B24" s="12" t="s">
        <v>244</v>
      </c>
      <c r="C24" s="12" t="s">
        <v>1817</v>
      </c>
      <c r="D24" s="12" t="s">
        <v>1830</v>
      </c>
      <c r="E24" s="12" t="s">
        <v>1753</v>
      </c>
      <c r="F24" s="12" t="s">
        <v>1831</v>
      </c>
      <c r="G24" s="12" t="s">
        <v>1771</v>
      </c>
      <c r="H24" s="12" t="s">
        <v>1832</v>
      </c>
      <c r="I24" s="12" t="s">
        <v>1756</v>
      </c>
      <c r="J24" s="12" t="s">
        <v>1791</v>
      </c>
      <c r="K24" s="12" t="s">
        <v>1833</v>
      </c>
      <c r="L24" s="12" t="s">
        <v>1755</v>
      </c>
      <c r="M24" s="12" t="s">
        <v>1780</v>
      </c>
    </row>
    <row r="25" spans="1:13" ht="25" x14ac:dyDescent="0.35">
      <c r="A25" s="17" t="s">
        <v>246</v>
      </c>
      <c r="B25" s="12" t="s">
        <v>247</v>
      </c>
      <c r="C25" s="12" t="s">
        <v>1817</v>
      </c>
      <c r="D25" s="12" t="s">
        <v>1818</v>
      </c>
      <c r="E25" s="12" t="s">
        <v>1834</v>
      </c>
      <c r="F25" s="12" t="s">
        <v>1835</v>
      </c>
      <c r="G25" s="12" t="s">
        <v>1825</v>
      </c>
      <c r="H25" s="12" t="s">
        <v>1836</v>
      </c>
      <c r="I25" s="12" t="s">
        <v>1784</v>
      </c>
      <c r="J25" s="12" t="s">
        <v>1837</v>
      </c>
      <c r="K25" s="12" t="s">
        <v>1755</v>
      </c>
      <c r="L25" s="12" t="s">
        <v>1823</v>
      </c>
      <c r="M25" s="12" t="s">
        <v>1780</v>
      </c>
    </row>
    <row r="26" spans="1:13" ht="25" x14ac:dyDescent="0.35">
      <c r="A26" s="17" t="s">
        <v>249</v>
      </c>
      <c r="B26" s="12" t="s">
        <v>250</v>
      </c>
      <c r="C26" s="12" t="s">
        <v>1817</v>
      </c>
      <c r="D26" s="12" t="s">
        <v>1838</v>
      </c>
      <c r="E26" s="12" t="s">
        <v>1753</v>
      </c>
      <c r="F26" s="12" t="s">
        <v>1828</v>
      </c>
      <c r="G26" s="12" t="s">
        <v>1839</v>
      </c>
      <c r="H26" s="12" t="s">
        <v>1840</v>
      </c>
      <c r="I26" s="12" t="s">
        <v>1784</v>
      </c>
      <c r="J26" s="12" t="s">
        <v>1822</v>
      </c>
      <c r="K26" s="12" t="s">
        <v>1755</v>
      </c>
      <c r="L26" s="12" t="s">
        <v>1755</v>
      </c>
      <c r="M26" s="12" t="s">
        <v>1780</v>
      </c>
    </row>
    <row r="27" spans="1:13" ht="25" x14ac:dyDescent="0.35">
      <c r="A27" s="17" t="s">
        <v>252</v>
      </c>
      <c r="B27" s="12" t="s">
        <v>253</v>
      </c>
      <c r="C27" s="12" t="s">
        <v>1751</v>
      </c>
      <c r="D27" s="12" t="s">
        <v>1841</v>
      </c>
      <c r="E27" s="12" t="s">
        <v>1782</v>
      </c>
      <c r="F27" s="12" t="s">
        <v>1842</v>
      </c>
      <c r="G27" s="12" t="s">
        <v>1843</v>
      </c>
      <c r="H27" s="12" t="s">
        <v>1844</v>
      </c>
      <c r="I27" s="12" t="s">
        <v>1756</v>
      </c>
      <c r="J27" s="12" t="s">
        <v>1793</v>
      </c>
      <c r="K27" s="12" t="s">
        <v>1755</v>
      </c>
      <c r="L27" s="12" t="s">
        <v>1755</v>
      </c>
      <c r="M27" s="12" t="s">
        <v>1780</v>
      </c>
    </row>
    <row r="28" spans="1:13" ht="25" x14ac:dyDescent="0.35">
      <c r="A28" s="17" t="s">
        <v>255</v>
      </c>
      <c r="B28" s="12" t="s">
        <v>256</v>
      </c>
      <c r="C28" s="12" t="s">
        <v>1751</v>
      </c>
      <c r="D28" s="12" t="s">
        <v>1845</v>
      </c>
      <c r="E28" s="12" t="s">
        <v>1753</v>
      </c>
      <c r="F28" s="12" t="s">
        <v>1846</v>
      </c>
      <c r="G28" s="12" t="s">
        <v>1774</v>
      </c>
      <c r="H28" s="12" t="s">
        <v>1304</v>
      </c>
      <c r="I28" s="12" t="s">
        <v>1756</v>
      </c>
      <c r="J28" s="12" t="s">
        <v>1847</v>
      </c>
      <c r="K28" s="12" t="s">
        <v>1755</v>
      </c>
      <c r="L28" s="12" t="s">
        <v>1755</v>
      </c>
      <c r="M28" s="12" t="s">
        <v>1780</v>
      </c>
    </row>
    <row r="29" spans="1:13" ht="25" x14ac:dyDescent="0.35">
      <c r="A29" s="17" t="s">
        <v>258</v>
      </c>
      <c r="B29" s="12" t="s">
        <v>259</v>
      </c>
      <c r="C29" s="12" t="s">
        <v>1751</v>
      </c>
      <c r="D29" s="12" t="s">
        <v>1848</v>
      </c>
      <c r="E29" s="12" t="s">
        <v>1782</v>
      </c>
      <c r="F29" s="12" t="s">
        <v>1849</v>
      </c>
      <c r="G29" s="12" t="s">
        <v>1850</v>
      </c>
      <c r="H29" s="12" t="s">
        <v>1851</v>
      </c>
      <c r="I29" s="12" t="s">
        <v>1852</v>
      </c>
      <c r="J29" s="12" t="s">
        <v>1853</v>
      </c>
      <c r="K29" s="12" t="s">
        <v>1755</v>
      </c>
      <c r="L29" s="12" t="s">
        <v>1755</v>
      </c>
      <c r="M29" s="12" t="s">
        <v>1780</v>
      </c>
    </row>
    <row r="30" spans="1:13" ht="25" x14ac:dyDescent="0.35">
      <c r="A30" s="17" t="s">
        <v>261</v>
      </c>
      <c r="B30" s="12" t="s">
        <v>262</v>
      </c>
      <c r="C30" s="12" t="s">
        <v>1751</v>
      </c>
      <c r="D30" s="12" t="s">
        <v>1854</v>
      </c>
      <c r="E30" s="12" t="s">
        <v>1782</v>
      </c>
      <c r="F30" s="12" t="s">
        <v>1855</v>
      </c>
      <c r="G30" s="12" t="s">
        <v>1774</v>
      </c>
      <c r="H30" s="12" t="s">
        <v>1775</v>
      </c>
      <c r="I30" s="12" t="s">
        <v>1784</v>
      </c>
      <c r="J30" s="12" t="s">
        <v>1785</v>
      </c>
      <c r="K30" s="12" t="s">
        <v>1755</v>
      </c>
      <c r="L30" s="12" t="s">
        <v>1755</v>
      </c>
      <c r="M30" s="12" t="s">
        <v>1780</v>
      </c>
    </row>
    <row r="31" spans="1:13" ht="25" x14ac:dyDescent="0.35">
      <c r="A31" s="17" t="s">
        <v>264</v>
      </c>
      <c r="B31" s="12" t="s">
        <v>265</v>
      </c>
      <c r="C31" s="12" t="s">
        <v>1856</v>
      </c>
      <c r="D31" s="12" t="s">
        <v>1857</v>
      </c>
      <c r="E31" s="12" t="s">
        <v>1769</v>
      </c>
      <c r="F31" s="12" t="s">
        <v>1858</v>
      </c>
      <c r="G31" s="12" t="s">
        <v>1859</v>
      </c>
      <c r="H31" s="12" t="s">
        <v>1860</v>
      </c>
      <c r="I31" s="12" t="s">
        <v>1861</v>
      </c>
      <c r="J31" s="12" t="s">
        <v>1862</v>
      </c>
      <c r="K31" s="12" t="s">
        <v>1755</v>
      </c>
      <c r="L31" s="12" t="s">
        <v>1755</v>
      </c>
      <c r="M31" s="12" t="s">
        <v>1863</v>
      </c>
    </row>
    <row r="32" spans="1:13" ht="25" x14ac:dyDescent="0.35">
      <c r="A32" s="17" t="s">
        <v>267</v>
      </c>
      <c r="B32" s="12" t="s">
        <v>268</v>
      </c>
      <c r="C32" s="12" t="s">
        <v>1856</v>
      </c>
      <c r="D32" s="12" t="s">
        <v>1806</v>
      </c>
      <c r="E32" s="12" t="s">
        <v>1811</v>
      </c>
      <c r="F32" s="12" t="s">
        <v>1864</v>
      </c>
      <c r="G32" s="12" t="s">
        <v>1803</v>
      </c>
      <c r="H32" s="12" t="s">
        <v>1865</v>
      </c>
      <c r="I32" s="12" t="s">
        <v>1784</v>
      </c>
      <c r="J32" s="12" t="s">
        <v>1785</v>
      </c>
      <c r="K32" s="12" t="s">
        <v>1755</v>
      </c>
      <c r="L32" s="12" t="s">
        <v>1755</v>
      </c>
      <c r="M32" s="12" t="s">
        <v>1863</v>
      </c>
    </row>
    <row r="33" spans="1:13" ht="25" x14ac:dyDescent="0.35">
      <c r="A33" s="17" t="s">
        <v>270</v>
      </c>
      <c r="B33" s="12" t="s">
        <v>271</v>
      </c>
      <c r="C33" s="12" t="s">
        <v>1856</v>
      </c>
      <c r="D33" s="12" t="s">
        <v>1866</v>
      </c>
      <c r="E33" s="12" t="s">
        <v>1811</v>
      </c>
      <c r="F33" s="12" t="s">
        <v>1864</v>
      </c>
      <c r="G33" s="12" t="s">
        <v>1803</v>
      </c>
      <c r="H33" s="12" t="s">
        <v>1867</v>
      </c>
      <c r="I33" s="12" t="s">
        <v>1784</v>
      </c>
      <c r="J33" s="12" t="s">
        <v>1785</v>
      </c>
      <c r="K33" s="12" t="s">
        <v>1755</v>
      </c>
      <c r="L33" s="12" t="s">
        <v>1755</v>
      </c>
      <c r="M33" s="12" t="s">
        <v>1863</v>
      </c>
    </row>
    <row r="34" spans="1:13" ht="25" x14ac:dyDescent="0.35">
      <c r="A34" s="17" t="s">
        <v>273</v>
      </c>
      <c r="B34" s="12" t="s">
        <v>274</v>
      </c>
      <c r="C34" s="12" t="s">
        <v>1856</v>
      </c>
      <c r="D34" s="12" t="s">
        <v>1806</v>
      </c>
      <c r="E34" s="12" t="s">
        <v>1811</v>
      </c>
      <c r="F34" s="12" t="s">
        <v>1868</v>
      </c>
      <c r="G34" s="12" t="s">
        <v>1803</v>
      </c>
      <c r="H34" s="12" t="s">
        <v>1869</v>
      </c>
      <c r="I34" s="12" t="s">
        <v>1870</v>
      </c>
      <c r="J34" s="12" t="s">
        <v>1871</v>
      </c>
      <c r="K34" s="12" t="s">
        <v>1755</v>
      </c>
      <c r="L34" s="12" t="s">
        <v>1755</v>
      </c>
      <c r="M34" s="12" t="s">
        <v>1863</v>
      </c>
    </row>
    <row r="35" spans="1:13" ht="25" x14ac:dyDescent="0.35">
      <c r="A35" s="17" t="s">
        <v>276</v>
      </c>
      <c r="B35" s="12" t="s">
        <v>277</v>
      </c>
      <c r="C35" s="12" t="s">
        <v>1751</v>
      </c>
      <c r="D35" s="12" t="s">
        <v>1872</v>
      </c>
      <c r="E35" s="12" t="s">
        <v>1769</v>
      </c>
      <c r="F35" s="12" t="s">
        <v>1873</v>
      </c>
      <c r="G35" s="12" t="s">
        <v>1874</v>
      </c>
      <c r="H35" s="12" t="s">
        <v>1875</v>
      </c>
      <c r="I35" s="12" t="s">
        <v>1756</v>
      </c>
      <c r="J35" s="12" t="s">
        <v>1847</v>
      </c>
      <c r="K35" s="12" t="s">
        <v>1755</v>
      </c>
      <c r="L35" s="12" t="s">
        <v>1755</v>
      </c>
      <c r="M35" s="12" t="s">
        <v>1780</v>
      </c>
    </row>
    <row r="36" spans="1:13" ht="25" x14ac:dyDescent="0.35">
      <c r="A36" s="17" t="s">
        <v>279</v>
      </c>
      <c r="B36" s="12" t="s">
        <v>280</v>
      </c>
      <c r="C36" s="12" t="s">
        <v>1751</v>
      </c>
      <c r="D36" s="12" t="s">
        <v>1876</v>
      </c>
      <c r="E36" s="12" t="s">
        <v>1753</v>
      </c>
      <c r="F36" s="12" t="s">
        <v>1877</v>
      </c>
      <c r="G36" s="12" t="s">
        <v>1878</v>
      </c>
      <c r="H36" s="12" t="s">
        <v>1879</v>
      </c>
      <c r="I36" s="12" t="s">
        <v>1756</v>
      </c>
      <c r="J36" s="12" t="s">
        <v>1791</v>
      </c>
      <c r="K36" s="12" t="s">
        <v>1755</v>
      </c>
      <c r="L36" s="12" t="s">
        <v>1755</v>
      </c>
      <c r="M36" s="12" t="s">
        <v>1780</v>
      </c>
    </row>
    <row r="37" spans="1:13" ht="25" x14ac:dyDescent="0.35">
      <c r="A37" s="17" t="s">
        <v>282</v>
      </c>
      <c r="B37" s="12" t="s">
        <v>283</v>
      </c>
      <c r="C37" s="12" t="s">
        <v>1751</v>
      </c>
      <c r="D37" s="12" t="s">
        <v>1880</v>
      </c>
      <c r="E37" s="12" t="s">
        <v>1753</v>
      </c>
      <c r="F37" s="12" t="s">
        <v>1881</v>
      </c>
      <c r="G37" s="12" t="s">
        <v>1882</v>
      </c>
      <c r="H37" s="12" t="s">
        <v>1883</v>
      </c>
      <c r="I37" s="12" t="s">
        <v>1756</v>
      </c>
      <c r="J37" s="12" t="s">
        <v>1791</v>
      </c>
      <c r="K37" s="12" t="s">
        <v>1755</v>
      </c>
      <c r="L37" s="12" t="s">
        <v>1884</v>
      </c>
      <c r="M37" s="12" t="s">
        <v>1780</v>
      </c>
    </row>
    <row r="38" spans="1:13" ht="25" x14ac:dyDescent="0.35">
      <c r="A38" s="17" t="s">
        <v>285</v>
      </c>
      <c r="B38" s="12" t="s">
        <v>286</v>
      </c>
      <c r="C38" s="12" t="s">
        <v>1751</v>
      </c>
      <c r="D38" s="12" t="s">
        <v>1885</v>
      </c>
      <c r="E38" s="12" t="s">
        <v>1753</v>
      </c>
      <c r="F38" s="12" t="s">
        <v>1886</v>
      </c>
      <c r="G38" s="12" t="s">
        <v>1887</v>
      </c>
      <c r="H38" s="12" t="s">
        <v>1888</v>
      </c>
      <c r="I38" s="12" t="s">
        <v>1756</v>
      </c>
      <c r="J38" s="12" t="s">
        <v>1889</v>
      </c>
      <c r="K38" s="12" t="s">
        <v>1755</v>
      </c>
      <c r="L38" s="12" t="s">
        <v>1890</v>
      </c>
      <c r="M38" s="12" t="s">
        <v>1780</v>
      </c>
    </row>
    <row r="39" spans="1:13" ht="37.5" x14ac:dyDescent="0.35">
      <c r="A39" s="17" t="s">
        <v>288</v>
      </c>
      <c r="B39" s="12" t="s">
        <v>289</v>
      </c>
      <c r="C39" s="12" t="s">
        <v>1751</v>
      </c>
      <c r="D39" s="12" t="s">
        <v>1891</v>
      </c>
      <c r="E39" s="12" t="s">
        <v>1753</v>
      </c>
      <c r="F39" s="12" t="s">
        <v>1892</v>
      </c>
      <c r="G39" s="12" t="s">
        <v>1893</v>
      </c>
      <c r="H39" s="12" t="s">
        <v>1894</v>
      </c>
      <c r="I39" s="12" t="s">
        <v>1756</v>
      </c>
      <c r="J39" s="12" t="s">
        <v>1895</v>
      </c>
      <c r="K39" s="12" t="s">
        <v>1755</v>
      </c>
      <c r="L39" s="12" t="s">
        <v>1755</v>
      </c>
      <c r="M39" s="12" t="s">
        <v>1780</v>
      </c>
    </row>
    <row r="40" spans="1:13" ht="25" x14ac:dyDescent="0.35">
      <c r="A40" s="17" t="s">
        <v>291</v>
      </c>
      <c r="B40" s="12" t="s">
        <v>292</v>
      </c>
      <c r="C40" s="12" t="s">
        <v>1751</v>
      </c>
      <c r="D40" s="12" t="s">
        <v>1896</v>
      </c>
      <c r="E40" s="12" t="s">
        <v>1753</v>
      </c>
      <c r="F40" s="12" t="s">
        <v>1897</v>
      </c>
      <c r="G40" s="12" t="s">
        <v>1898</v>
      </c>
      <c r="H40" s="12" t="s">
        <v>1899</v>
      </c>
      <c r="I40" s="12" t="s">
        <v>1756</v>
      </c>
      <c r="J40" s="12" t="s">
        <v>1791</v>
      </c>
      <c r="K40" s="12" t="s">
        <v>1755</v>
      </c>
      <c r="L40" s="12" t="s">
        <v>1755</v>
      </c>
      <c r="M40" s="12" t="s">
        <v>1780</v>
      </c>
    </row>
    <row r="41" spans="1:13" ht="25" x14ac:dyDescent="0.35">
      <c r="A41" s="17" t="s">
        <v>294</v>
      </c>
      <c r="B41" s="12" t="s">
        <v>295</v>
      </c>
      <c r="C41" s="12" t="s">
        <v>1751</v>
      </c>
      <c r="D41" s="12" t="s">
        <v>1900</v>
      </c>
      <c r="E41" s="12" t="s">
        <v>1769</v>
      </c>
      <c r="F41" s="12" t="s">
        <v>1901</v>
      </c>
      <c r="G41" s="12" t="s">
        <v>1882</v>
      </c>
      <c r="H41" s="12" t="s">
        <v>1902</v>
      </c>
      <c r="I41" s="12" t="s">
        <v>1756</v>
      </c>
      <c r="J41" s="12" t="s">
        <v>1889</v>
      </c>
      <c r="K41" s="12" t="s">
        <v>1755</v>
      </c>
      <c r="L41" s="12" t="s">
        <v>1755</v>
      </c>
      <c r="M41" s="12" t="s">
        <v>1780</v>
      </c>
    </row>
    <row r="42" spans="1:13" ht="25" x14ac:dyDescent="0.35">
      <c r="A42" s="17" t="s">
        <v>297</v>
      </c>
      <c r="B42" s="12" t="s">
        <v>298</v>
      </c>
      <c r="C42" s="12" t="s">
        <v>1751</v>
      </c>
      <c r="D42" s="12" t="s">
        <v>1903</v>
      </c>
      <c r="E42" s="12" t="s">
        <v>1753</v>
      </c>
      <c r="F42" s="12" t="s">
        <v>1892</v>
      </c>
      <c r="G42" s="12" t="s">
        <v>1898</v>
      </c>
      <c r="H42" s="12" t="s">
        <v>1904</v>
      </c>
      <c r="I42" s="12" t="s">
        <v>1756</v>
      </c>
      <c r="J42" s="12" t="s">
        <v>1889</v>
      </c>
      <c r="K42" s="12" t="s">
        <v>1755</v>
      </c>
      <c r="L42" s="12" t="s">
        <v>1755</v>
      </c>
      <c r="M42" s="12" t="s">
        <v>1780</v>
      </c>
    </row>
    <row r="43" spans="1:13" ht="25" x14ac:dyDescent="0.35">
      <c r="A43" s="17" t="s">
        <v>300</v>
      </c>
      <c r="B43" s="12" t="s">
        <v>301</v>
      </c>
      <c r="C43" s="12" t="s">
        <v>1751</v>
      </c>
      <c r="D43" s="12" t="s">
        <v>1905</v>
      </c>
      <c r="E43" s="12" t="s">
        <v>1753</v>
      </c>
      <c r="F43" s="12" t="s">
        <v>1897</v>
      </c>
      <c r="G43" s="12" t="s">
        <v>1898</v>
      </c>
      <c r="H43" s="12" t="s">
        <v>1906</v>
      </c>
      <c r="I43" s="12" t="s">
        <v>1756</v>
      </c>
      <c r="J43" s="12" t="s">
        <v>1907</v>
      </c>
      <c r="K43" s="12" t="s">
        <v>1755</v>
      </c>
      <c r="L43" s="12" t="s">
        <v>1755</v>
      </c>
      <c r="M43" s="12" t="s">
        <v>1780</v>
      </c>
    </row>
    <row r="44" spans="1:13" ht="25" x14ac:dyDescent="0.35">
      <c r="A44" s="17" t="s">
        <v>303</v>
      </c>
      <c r="B44" s="12" t="s">
        <v>304</v>
      </c>
      <c r="C44" s="12" t="s">
        <v>1751</v>
      </c>
      <c r="D44" s="12" t="s">
        <v>1908</v>
      </c>
      <c r="E44" s="12" t="s">
        <v>1753</v>
      </c>
      <c r="F44" s="12" t="s">
        <v>1886</v>
      </c>
      <c r="G44" s="12" t="s">
        <v>1893</v>
      </c>
      <c r="H44" s="12" t="s">
        <v>1909</v>
      </c>
      <c r="I44" s="12" t="s">
        <v>1756</v>
      </c>
      <c r="J44" s="12" t="s">
        <v>1910</v>
      </c>
      <c r="K44" s="12" t="s">
        <v>1755</v>
      </c>
      <c r="L44" s="12" t="s">
        <v>1755</v>
      </c>
      <c r="M44" s="12" t="s">
        <v>1780</v>
      </c>
    </row>
    <row r="45" spans="1:13" ht="25" x14ac:dyDescent="0.35">
      <c r="A45" s="17" t="s">
        <v>306</v>
      </c>
      <c r="B45" s="12" t="s">
        <v>307</v>
      </c>
      <c r="C45" s="12" t="s">
        <v>1751</v>
      </c>
      <c r="D45" s="12" t="s">
        <v>1911</v>
      </c>
      <c r="E45" s="12" t="s">
        <v>1753</v>
      </c>
      <c r="F45" s="12" t="s">
        <v>1912</v>
      </c>
      <c r="G45" s="12" t="s">
        <v>1913</v>
      </c>
      <c r="H45" s="12" t="s">
        <v>1914</v>
      </c>
      <c r="I45" s="12" t="s">
        <v>1756</v>
      </c>
      <c r="J45" s="12" t="s">
        <v>1915</v>
      </c>
      <c r="K45" s="12" t="s">
        <v>1755</v>
      </c>
      <c r="L45" s="12" t="s">
        <v>1755</v>
      </c>
      <c r="M45" s="12" t="s">
        <v>1780</v>
      </c>
    </row>
    <row r="46" spans="1:13" ht="25" x14ac:dyDescent="0.35">
      <c r="A46" s="17" t="s">
        <v>309</v>
      </c>
      <c r="B46" s="12" t="s">
        <v>310</v>
      </c>
      <c r="C46" s="12" t="s">
        <v>1751</v>
      </c>
      <c r="D46" s="12" t="s">
        <v>1916</v>
      </c>
      <c r="E46" s="12" t="s">
        <v>1753</v>
      </c>
      <c r="F46" s="12" t="s">
        <v>1917</v>
      </c>
      <c r="G46" s="12" t="s">
        <v>1760</v>
      </c>
      <c r="H46" s="12" t="s">
        <v>1918</v>
      </c>
      <c r="I46" s="12" t="s">
        <v>1756</v>
      </c>
      <c r="J46" s="12" t="s">
        <v>1762</v>
      </c>
      <c r="K46" s="12" t="s">
        <v>1755</v>
      </c>
      <c r="L46" s="12" t="s">
        <v>1755</v>
      </c>
      <c r="M46" s="12" t="s">
        <v>1780</v>
      </c>
    </row>
    <row r="47" spans="1:13" ht="25" x14ac:dyDescent="0.35">
      <c r="A47" s="17" t="s">
        <v>312</v>
      </c>
      <c r="B47" s="12" t="s">
        <v>313</v>
      </c>
      <c r="C47" s="12" t="s">
        <v>1751</v>
      </c>
      <c r="D47" s="12" t="s">
        <v>1919</v>
      </c>
      <c r="E47" s="12" t="s">
        <v>1769</v>
      </c>
      <c r="F47" s="12" t="s">
        <v>1920</v>
      </c>
      <c r="G47" s="12" t="s">
        <v>1921</v>
      </c>
      <c r="H47" s="12" t="s">
        <v>1922</v>
      </c>
      <c r="I47" s="12" t="s">
        <v>1923</v>
      </c>
      <c r="J47" s="12" t="s">
        <v>1924</v>
      </c>
      <c r="K47" s="12" t="s">
        <v>1755</v>
      </c>
      <c r="L47" s="12" t="s">
        <v>1755</v>
      </c>
      <c r="M47" s="12" t="s">
        <v>1755</v>
      </c>
    </row>
    <row r="48" spans="1:13" ht="25" x14ac:dyDescent="0.35">
      <c r="A48" s="17" t="s">
        <v>315</v>
      </c>
      <c r="B48" s="12" t="s">
        <v>316</v>
      </c>
      <c r="C48" s="12" t="s">
        <v>1751</v>
      </c>
      <c r="D48" s="12" t="s">
        <v>1925</v>
      </c>
      <c r="E48" s="12" t="s">
        <v>1926</v>
      </c>
      <c r="F48" s="12" t="s">
        <v>1927</v>
      </c>
      <c r="G48" s="12" t="s">
        <v>1921</v>
      </c>
      <c r="H48" s="12" t="s">
        <v>1074</v>
      </c>
      <c r="I48" s="12" t="s">
        <v>1923</v>
      </c>
      <c r="J48" s="12" t="s">
        <v>1928</v>
      </c>
      <c r="K48" s="12" t="s">
        <v>1755</v>
      </c>
      <c r="L48" s="12" t="s">
        <v>1755</v>
      </c>
      <c r="M48" s="12" t="s">
        <v>1755</v>
      </c>
    </row>
    <row r="49" spans="1:13" ht="25" x14ac:dyDescent="0.35">
      <c r="A49" s="17" t="s">
        <v>318</v>
      </c>
      <c r="B49" s="12" t="s">
        <v>319</v>
      </c>
      <c r="C49" s="12" t="s">
        <v>1751</v>
      </c>
      <c r="D49" s="12" t="s">
        <v>1929</v>
      </c>
      <c r="E49" s="12" t="s">
        <v>1930</v>
      </c>
      <c r="F49" s="12" t="s">
        <v>1931</v>
      </c>
      <c r="G49" s="12" t="s">
        <v>1921</v>
      </c>
      <c r="H49" s="12" t="s">
        <v>1932</v>
      </c>
      <c r="I49" s="12" t="s">
        <v>1784</v>
      </c>
      <c r="J49" s="12" t="s">
        <v>1933</v>
      </c>
      <c r="K49" s="12" t="s">
        <v>1755</v>
      </c>
      <c r="L49" s="12" t="s">
        <v>1755</v>
      </c>
      <c r="M49" s="12" t="s">
        <v>1755</v>
      </c>
    </row>
    <row r="50" spans="1:13" ht="25" x14ac:dyDescent="0.35">
      <c r="A50" s="17" t="s">
        <v>321</v>
      </c>
      <c r="B50" s="12" t="s">
        <v>322</v>
      </c>
      <c r="C50" s="12" t="s">
        <v>1751</v>
      </c>
      <c r="D50" s="12" t="s">
        <v>1934</v>
      </c>
      <c r="E50" s="12" t="s">
        <v>1753</v>
      </c>
      <c r="F50" s="12" t="s">
        <v>1935</v>
      </c>
      <c r="G50" s="12" t="s">
        <v>1921</v>
      </c>
      <c r="H50" s="12" t="s">
        <v>1936</v>
      </c>
      <c r="I50" s="12" t="s">
        <v>1937</v>
      </c>
      <c r="J50" s="12" t="s">
        <v>1938</v>
      </c>
      <c r="K50" s="12" t="s">
        <v>1755</v>
      </c>
      <c r="L50" s="12" t="s">
        <v>1755</v>
      </c>
      <c r="M50" s="12" t="s">
        <v>1755</v>
      </c>
    </row>
    <row r="51" spans="1:13" ht="25" x14ac:dyDescent="0.35">
      <c r="A51" s="17" t="s">
        <v>324</v>
      </c>
      <c r="B51" s="12" t="s">
        <v>325</v>
      </c>
      <c r="C51" s="12" t="s">
        <v>1751</v>
      </c>
      <c r="D51" s="12" t="s">
        <v>1939</v>
      </c>
      <c r="E51" s="12" t="s">
        <v>1753</v>
      </c>
      <c r="F51" s="12" t="s">
        <v>1940</v>
      </c>
      <c r="G51" s="12" t="s">
        <v>1941</v>
      </c>
      <c r="H51" s="12" t="s">
        <v>1942</v>
      </c>
      <c r="I51" s="12" t="s">
        <v>1756</v>
      </c>
      <c r="J51" s="12" t="s">
        <v>1767</v>
      </c>
      <c r="K51" s="12" t="s">
        <v>1755</v>
      </c>
      <c r="L51" s="12" t="s">
        <v>1755</v>
      </c>
      <c r="M51" s="12" t="s">
        <v>1755</v>
      </c>
    </row>
    <row r="52" spans="1:13" ht="25" x14ac:dyDescent="0.35">
      <c r="A52" s="17" t="s">
        <v>327</v>
      </c>
      <c r="B52" s="12" t="s">
        <v>328</v>
      </c>
      <c r="C52" s="12" t="s">
        <v>1751</v>
      </c>
      <c r="D52" s="12" t="s">
        <v>1943</v>
      </c>
      <c r="E52" s="12" t="s">
        <v>1753</v>
      </c>
      <c r="F52" s="12" t="s">
        <v>1917</v>
      </c>
      <c r="G52" s="12" t="s">
        <v>1944</v>
      </c>
      <c r="H52" s="12" t="s">
        <v>1945</v>
      </c>
      <c r="I52" s="12" t="s">
        <v>1756</v>
      </c>
      <c r="J52" s="12" t="s">
        <v>1889</v>
      </c>
      <c r="K52" s="12" t="s">
        <v>1755</v>
      </c>
      <c r="L52" s="12" t="s">
        <v>1755</v>
      </c>
      <c r="M52" s="12" t="s">
        <v>1755</v>
      </c>
    </row>
    <row r="53" spans="1:13" x14ac:dyDescent="0.35">
      <c r="A53" s="17" t="s">
        <v>330</v>
      </c>
      <c r="B53" s="12" t="s">
        <v>331</v>
      </c>
      <c r="C53" s="12" t="s">
        <v>1751</v>
      </c>
      <c r="D53" s="12" t="s">
        <v>1946</v>
      </c>
      <c r="E53" s="12" t="s">
        <v>1753</v>
      </c>
      <c r="F53" s="12" t="s">
        <v>1947</v>
      </c>
      <c r="G53" s="12" t="s">
        <v>1771</v>
      </c>
      <c r="H53" s="12" t="s">
        <v>1948</v>
      </c>
      <c r="I53" s="12" t="s">
        <v>1756</v>
      </c>
      <c r="J53" s="12" t="s">
        <v>1915</v>
      </c>
      <c r="K53" s="12" t="s">
        <v>1755</v>
      </c>
      <c r="L53" s="12" t="s">
        <v>1755</v>
      </c>
      <c r="M53" s="12" t="s">
        <v>1780</v>
      </c>
    </row>
    <row r="54" spans="1:13" ht="25" x14ac:dyDescent="0.35">
      <c r="A54" s="17" t="s">
        <v>333</v>
      </c>
      <c r="B54" s="12" t="s">
        <v>334</v>
      </c>
      <c r="C54" s="12" t="s">
        <v>1751</v>
      </c>
      <c r="D54" s="12" t="s">
        <v>1946</v>
      </c>
      <c r="E54" s="12" t="s">
        <v>1753</v>
      </c>
      <c r="F54" s="12" t="s">
        <v>1949</v>
      </c>
      <c r="G54" s="12" t="s">
        <v>1771</v>
      </c>
      <c r="H54" s="12" t="s">
        <v>1950</v>
      </c>
      <c r="I54" s="12" t="s">
        <v>1756</v>
      </c>
      <c r="J54" s="12" t="s">
        <v>1767</v>
      </c>
      <c r="K54" s="12" t="s">
        <v>1951</v>
      </c>
      <c r="L54" s="12" t="s">
        <v>1952</v>
      </c>
      <c r="M54" s="12" t="s">
        <v>1780</v>
      </c>
    </row>
    <row r="55" spans="1:13" ht="25" x14ac:dyDescent="0.35">
      <c r="A55" s="17" t="s">
        <v>336</v>
      </c>
      <c r="B55" s="12" t="s">
        <v>337</v>
      </c>
      <c r="C55" s="12" t="s">
        <v>1751</v>
      </c>
      <c r="D55" s="12" t="s">
        <v>1953</v>
      </c>
      <c r="E55" s="12" t="s">
        <v>1753</v>
      </c>
      <c r="F55" s="12" t="s">
        <v>1954</v>
      </c>
      <c r="G55" s="12" t="s">
        <v>1771</v>
      </c>
      <c r="H55" s="12" t="s">
        <v>1832</v>
      </c>
      <c r="I55" s="12" t="s">
        <v>1756</v>
      </c>
      <c r="J55" s="12" t="s">
        <v>1889</v>
      </c>
      <c r="K55" s="12" t="s">
        <v>1755</v>
      </c>
      <c r="L55" s="12" t="s">
        <v>1755</v>
      </c>
      <c r="M55" s="12" t="s">
        <v>1780</v>
      </c>
    </row>
    <row r="56" spans="1:13" ht="25" x14ac:dyDescent="0.35">
      <c r="A56" s="17" t="s">
        <v>339</v>
      </c>
      <c r="B56" s="12" t="s">
        <v>340</v>
      </c>
      <c r="C56" s="12" t="s">
        <v>1955</v>
      </c>
      <c r="D56" s="12" t="s">
        <v>1956</v>
      </c>
      <c r="E56" s="12" t="s">
        <v>1811</v>
      </c>
      <c r="F56" s="12" t="s">
        <v>1957</v>
      </c>
      <c r="G56" s="12" t="s">
        <v>1958</v>
      </c>
      <c r="H56" s="12" t="s">
        <v>1959</v>
      </c>
      <c r="I56" s="12" t="s">
        <v>1756</v>
      </c>
      <c r="J56" s="12" t="s">
        <v>1791</v>
      </c>
      <c r="K56" s="12" t="s">
        <v>1755</v>
      </c>
      <c r="L56" s="12" t="s">
        <v>1755</v>
      </c>
      <c r="M56" s="12" t="s">
        <v>1755</v>
      </c>
    </row>
    <row r="57" spans="1:13" ht="25" x14ac:dyDescent="0.35">
      <c r="A57" s="17" t="s">
        <v>342</v>
      </c>
      <c r="B57" s="12" t="s">
        <v>343</v>
      </c>
      <c r="C57" s="12" t="s">
        <v>1955</v>
      </c>
      <c r="D57" s="12" t="s">
        <v>1960</v>
      </c>
      <c r="E57" s="12" t="s">
        <v>1961</v>
      </c>
      <c r="F57" s="12" t="s">
        <v>1962</v>
      </c>
      <c r="G57" s="12" t="s">
        <v>1963</v>
      </c>
      <c r="H57" s="12" t="s">
        <v>1964</v>
      </c>
      <c r="I57" s="12" t="s">
        <v>1965</v>
      </c>
      <c r="J57" s="12" t="s">
        <v>1966</v>
      </c>
      <c r="K57" s="12" t="s">
        <v>1755</v>
      </c>
      <c r="L57" s="12" t="s">
        <v>1755</v>
      </c>
      <c r="M57" s="12" t="s">
        <v>1755</v>
      </c>
    </row>
    <row r="58" spans="1:13" ht="37.5" x14ac:dyDescent="0.35">
      <c r="A58" s="17" t="s">
        <v>345</v>
      </c>
      <c r="B58" s="12" t="s">
        <v>346</v>
      </c>
      <c r="C58" s="12" t="s">
        <v>1955</v>
      </c>
      <c r="D58" s="12" t="s">
        <v>1967</v>
      </c>
      <c r="E58" s="12" t="s">
        <v>1811</v>
      </c>
      <c r="F58" s="12" t="s">
        <v>1868</v>
      </c>
      <c r="G58" s="12" t="s">
        <v>1755</v>
      </c>
      <c r="H58" s="12" t="s">
        <v>1755</v>
      </c>
      <c r="I58" s="12" t="s">
        <v>1968</v>
      </c>
      <c r="J58" s="12" t="s">
        <v>1969</v>
      </c>
      <c r="K58" s="12" t="s">
        <v>1755</v>
      </c>
      <c r="L58" s="12" t="s">
        <v>1755</v>
      </c>
      <c r="M58" s="12" t="s">
        <v>1755</v>
      </c>
    </row>
    <row r="59" spans="1:13" ht="37.5" x14ac:dyDescent="0.35">
      <c r="A59" s="17" t="s">
        <v>348</v>
      </c>
      <c r="B59" s="12" t="s">
        <v>349</v>
      </c>
      <c r="C59" s="12" t="s">
        <v>1955</v>
      </c>
      <c r="D59" s="12" t="s">
        <v>1970</v>
      </c>
      <c r="E59" s="12" t="s">
        <v>1789</v>
      </c>
      <c r="F59" s="12" t="s">
        <v>1971</v>
      </c>
      <c r="G59" s="12" t="s">
        <v>1972</v>
      </c>
      <c r="H59" s="12" t="s">
        <v>1973</v>
      </c>
      <c r="I59" s="12" t="s">
        <v>1923</v>
      </c>
      <c r="J59" s="12" t="s">
        <v>1974</v>
      </c>
      <c r="K59" s="12" t="s">
        <v>1755</v>
      </c>
      <c r="L59" s="12" t="s">
        <v>1755</v>
      </c>
      <c r="M59" s="12" t="s">
        <v>1755</v>
      </c>
    </row>
    <row r="60" spans="1:13" ht="25" x14ac:dyDescent="0.35">
      <c r="A60" s="17" t="s">
        <v>351</v>
      </c>
      <c r="B60" s="12" t="s">
        <v>352</v>
      </c>
      <c r="C60" s="12" t="s">
        <v>1751</v>
      </c>
      <c r="D60" s="12" t="s">
        <v>1975</v>
      </c>
      <c r="E60" s="12" t="s">
        <v>1753</v>
      </c>
      <c r="F60" s="12" t="s">
        <v>1846</v>
      </c>
      <c r="G60" s="12" t="s">
        <v>1760</v>
      </c>
      <c r="H60" s="12" t="s">
        <v>1761</v>
      </c>
      <c r="I60" s="12" t="s">
        <v>1756</v>
      </c>
      <c r="J60" s="12" t="s">
        <v>1847</v>
      </c>
      <c r="K60" s="12" t="s">
        <v>1755</v>
      </c>
      <c r="L60" s="12" t="s">
        <v>1755</v>
      </c>
      <c r="M60" s="12" t="s">
        <v>1780</v>
      </c>
    </row>
    <row r="61" spans="1:13" ht="25" x14ac:dyDescent="0.35">
      <c r="A61" s="17" t="s">
        <v>354</v>
      </c>
      <c r="B61" s="12" t="s">
        <v>355</v>
      </c>
      <c r="C61" s="12" t="s">
        <v>1751</v>
      </c>
      <c r="D61" s="12" t="s">
        <v>1976</v>
      </c>
      <c r="E61" s="12" t="s">
        <v>1753</v>
      </c>
      <c r="F61" s="12" t="s">
        <v>1977</v>
      </c>
      <c r="G61" s="12" t="s">
        <v>1893</v>
      </c>
      <c r="H61" s="12" t="s">
        <v>1978</v>
      </c>
      <c r="I61" s="12" t="s">
        <v>1756</v>
      </c>
      <c r="J61" s="12" t="s">
        <v>1889</v>
      </c>
      <c r="K61" s="12" t="s">
        <v>1755</v>
      </c>
      <c r="L61" s="12" t="s">
        <v>1755</v>
      </c>
      <c r="M61" s="12" t="s">
        <v>1780</v>
      </c>
    </row>
    <row r="62" spans="1:13" ht="25" x14ac:dyDescent="0.35">
      <c r="A62" s="17" t="s">
        <v>357</v>
      </c>
      <c r="B62" s="12" t="s">
        <v>358</v>
      </c>
      <c r="C62" s="12" t="s">
        <v>1751</v>
      </c>
      <c r="D62" s="12" t="s">
        <v>1786</v>
      </c>
      <c r="E62" s="12" t="s">
        <v>1753</v>
      </c>
      <c r="F62" s="12" t="s">
        <v>1764</v>
      </c>
      <c r="G62" s="12" t="s">
        <v>1774</v>
      </c>
      <c r="H62" s="12" t="s">
        <v>1979</v>
      </c>
      <c r="I62" s="12" t="s">
        <v>1852</v>
      </c>
      <c r="J62" s="12" t="s">
        <v>1980</v>
      </c>
      <c r="K62" s="12" t="s">
        <v>1755</v>
      </c>
      <c r="L62" s="12" t="s">
        <v>1755</v>
      </c>
      <c r="M62" s="12" t="s">
        <v>1780</v>
      </c>
    </row>
    <row r="63" spans="1:13" ht="25" x14ac:dyDescent="0.35">
      <c r="A63" s="17" t="s">
        <v>360</v>
      </c>
      <c r="B63" s="12" t="s">
        <v>361</v>
      </c>
      <c r="C63" s="12" t="s">
        <v>1751</v>
      </c>
      <c r="D63" s="12" t="s">
        <v>1981</v>
      </c>
      <c r="E63" s="12" t="s">
        <v>1753</v>
      </c>
      <c r="F63" s="12" t="s">
        <v>1846</v>
      </c>
      <c r="G63" s="12" t="s">
        <v>1982</v>
      </c>
      <c r="H63" s="12" t="s">
        <v>1983</v>
      </c>
      <c r="I63" s="12" t="s">
        <v>1756</v>
      </c>
      <c r="J63" s="12" t="s">
        <v>1847</v>
      </c>
      <c r="K63" s="12" t="s">
        <v>1755</v>
      </c>
      <c r="L63" s="12" t="s">
        <v>1755</v>
      </c>
      <c r="M63" s="12" t="s">
        <v>1780</v>
      </c>
    </row>
    <row r="64" spans="1:13" ht="25" x14ac:dyDescent="0.35">
      <c r="A64" s="17" t="s">
        <v>363</v>
      </c>
      <c r="B64" s="12" t="s">
        <v>364</v>
      </c>
      <c r="C64" s="12" t="s">
        <v>1751</v>
      </c>
      <c r="D64" s="12" t="s">
        <v>1984</v>
      </c>
      <c r="E64" s="12" t="s">
        <v>1782</v>
      </c>
      <c r="F64" s="12" t="s">
        <v>1985</v>
      </c>
      <c r="G64" s="12" t="s">
        <v>1986</v>
      </c>
      <c r="H64" s="12" t="s">
        <v>1987</v>
      </c>
      <c r="I64" s="12" t="s">
        <v>1784</v>
      </c>
      <c r="J64" s="12" t="s">
        <v>1988</v>
      </c>
      <c r="K64" s="12" t="s">
        <v>1755</v>
      </c>
      <c r="L64" s="12" t="s">
        <v>1755</v>
      </c>
      <c r="M64" s="12" t="s">
        <v>1780</v>
      </c>
    </row>
    <row r="66" spans="1:1" ht="168" x14ac:dyDescent="0.35">
      <c r="A66" s="15" t="s">
        <v>1989</v>
      </c>
    </row>
  </sheetData>
  <autoFilter ref="A4:M64" xr:uid="{00000000-0009-0000-0000-00000C000000}"/>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sheetPr>
  <dimension ref="A1:R64"/>
  <sheetViews>
    <sheetView zoomScaleNormal="100" workbookViewId="0">
      <pane xSplit="2" ySplit="4" topLeftCell="C17" activePane="bottomRight" state="frozen"/>
      <selection pane="topRight" activeCell="C1" sqref="C1"/>
      <selection pane="bottomLeft" activeCell="A5" sqref="A5"/>
      <selection pane="bottomRight"/>
    </sheetView>
  </sheetViews>
  <sheetFormatPr defaultColWidth="8.6328125" defaultRowHeight="14.5" x14ac:dyDescent="0.35"/>
  <cols>
    <col min="1" max="1" width="14" customWidth="1"/>
    <col min="2" max="2" width="40" customWidth="1"/>
    <col min="3" max="13" width="16" customWidth="1"/>
    <col min="14" max="14" width="3" customWidth="1"/>
    <col min="15" max="15" width="12" customWidth="1"/>
    <col min="16" max="16" width="38" customWidth="1"/>
    <col min="17" max="17" width="12" customWidth="1"/>
  </cols>
  <sheetData>
    <row r="1" spans="1:18" ht="20" x14ac:dyDescent="0.4">
      <c r="A1" s="8" t="s">
        <v>1990</v>
      </c>
    </row>
    <row r="2" spans="1:18" x14ac:dyDescent="0.35">
      <c r="A2" s="6" t="s">
        <v>1991</v>
      </c>
    </row>
    <row r="3" spans="1:18" x14ac:dyDescent="0.35">
      <c r="B3" s="9" t="s">
        <v>1992</v>
      </c>
      <c r="C3" s="50">
        <f t="shared" ref="C3:M3" si="0">COUNTIF(C5:C64,"?*")</f>
        <v>21</v>
      </c>
      <c r="D3" s="50">
        <f t="shared" si="0"/>
        <v>6</v>
      </c>
      <c r="E3" s="50">
        <f t="shared" si="0"/>
        <v>7</v>
      </c>
      <c r="F3" s="50">
        <f t="shared" si="0"/>
        <v>13</v>
      </c>
      <c r="G3" s="50">
        <f t="shared" si="0"/>
        <v>14</v>
      </c>
      <c r="H3" s="50">
        <f t="shared" si="0"/>
        <v>10</v>
      </c>
      <c r="I3" s="50">
        <f t="shared" si="0"/>
        <v>5</v>
      </c>
      <c r="J3" s="50">
        <f t="shared" si="0"/>
        <v>11</v>
      </c>
      <c r="K3" s="50">
        <f t="shared" si="0"/>
        <v>6</v>
      </c>
      <c r="L3" s="50">
        <f t="shared" si="0"/>
        <v>1</v>
      </c>
      <c r="M3" s="50">
        <f t="shared" si="0"/>
        <v>11</v>
      </c>
    </row>
    <row r="4" spans="1:18" ht="39.75" customHeight="1" x14ac:dyDescent="0.35">
      <c r="A4" s="11" t="s">
        <v>134</v>
      </c>
      <c r="B4" s="11" t="s">
        <v>164</v>
      </c>
      <c r="C4" s="11" t="s">
        <v>1993</v>
      </c>
      <c r="D4" s="11" t="s">
        <v>1994</v>
      </c>
      <c r="E4" s="11" t="s">
        <v>1995</v>
      </c>
      <c r="F4" s="11" t="s">
        <v>1996</v>
      </c>
      <c r="G4" s="11" t="s">
        <v>1997</v>
      </c>
      <c r="H4" s="11" t="s">
        <v>1998</v>
      </c>
      <c r="I4" s="11" t="s">
        <v>1999</v>
      </c>
      <c r="J4" s="11" t="s">
        <v>2000</v>
      </c>
      <c r="K4" s="11" t="s">
        <v>2001</v>
      </c>
      <c r="L4" s="11" t="s">
        <v>2002</v>
      </c>
      <c r="M4" s="11" t="s">
        <v>2003</v>
      </c>
      <c r="P4" s="11" t="s">
        <v>2004</v>
      </c>
      <c r="Q4" s="11" t="s">
        <v>2005</v>
      </c>
      <c r="R4" s="11" t="s">
        <v>2006</v>
      </c>
    </row>
    <row r="5" spans="1:18" ht="37.5" x14ac:dyDescent="0.35">
      <c r="A5" s="17" t="s">
        <v>185</v>
      </c>
      <c r="B5" s="12" t="s">
        <v>187</v>
      </c>
      <c r="C5" s="20" t="s">
        <v>2007</v>
      </c>
      <c r="D5" s="20"/>
      <c r="E5" s="20"/>
      <c r="F5" s="20"/>
      <c r="G5" s="20"/>
      <c r="H5" s="20"/>
      <c r="I5" s="20"/>
      <c r="J5" s="20"/>
      <c r="K5" s="20"/>
      <c r="L5" s="20"/>
      <c r="M5" s="20"/>
      <c r="P5" s="17" t="s">
        <v>2008</v>
      </c>
      <c r="Q5" s="12" t="s">
        <v>2009</v>
      </c>
      <c r="R5" s="20">
        <f t="shared" ref="R5:R51" si="1">COUNTIF($C$5:$M$64,"*"&amp;P5&amp;"*")</f>
        <v>2</v>
      </c>
    </row>
    <row r="6" spans="1:18" ht="25" x14ac:dyDescent="0.35">
      <c r="A6" s="17" t="s">
        <v>189</v>
      </c>
      <c r="B6" s="12" t="s">
        <v>190</v>
      </c>
      <c r="C6" s="20" t="s">
        <v>2010</v>
      </c>
      <c r="D6" s="20"/>
      <c r="E6" s="20" t="s">
        <v>2011</v>
      </c>
      <c r="F6" s="20"/>
      <c r="G6" s="20"/>
      <c r="H6" s="20"/>
      <c r="I6" s="20"/>
      <c r="J6" s="20"/>
      <c r="K6" s="20"/>
      <c r="L6" s="20"/>
      <c r="M6" s="20"/>
      <c r="P6" s="17" t="s">
        <v>2012</v>
      </c>
      <c r="Q6" s="12" t="s">
        <v>2013</v>
      </c>
      <c r="R6" s="20">
        <f t="shared" si="1"/>
        <v>6</v>
      </c>
    </row>
    <row r="7" spans="1:18" ht="25" x14ac:dyDescent="0.35">
      <c r="A7" s="17" t="s">
        <v>192</v>
      </c>
      <c r="B7" s="12" t="s">
        <v>193</v>
      </c>
      <c r="C7" s="20" t="s">
        <v>2014</v>
      </c>
      <c r="D7" s="20"/>
      <c r="E7" s="20"/>
      <c r="F7" s="20"/>
      <c r="G7" s="20"/>
      <c r="H7" s="20"/>
      <c r="I7" s="20"/>
      <c r="J7" s="20"/>
      <c r="K7" s="20"/>
      <c r="L7" s="20"/>
      <c r="M7" s="20"/>
      <c r="P7" s="17" t="s">
        <v>2015</v>
      </c>
      <c r="Q7" s="12" t="s">
        <v>2016</v>
      </c>
      <c r="R7" s="20">
        <f t="shared" si="1"/>
        <v>2</v>
      </c>
    </row>
    <row r="8" spans="1:18" ht="37.5" x14ac:dyDescent="0.35">
      <c r="A8" s="17" t="s">
        <v>195</v>
      </c>
      <c r="B8" s="12" t="s">
        <v>196</v>
      </c>
      <c r="C8" s="20"/>
      <c r="D8" s="20"/>
      <c r="E8" s="20"/>
      <c r="F8" s="20"/>
      <c r="G8" s="20"/>
      <c r="H8" s="20"/>
      <c r="I8" s="20"/>
      <c r="J8" s="20"/>
      <c r="K8" s="20" t="s">
        <v>2012</v>
      </c>
      <c r="L8" s="20"/>
      <c r="M8" s="20"/>
      <c r="P8" s="17" t="s">
        <v>2017</v>
      </c>
      <c r="Q8" s="12" t="s">
        <v>2018</v>
      </c>
      <c r="R8" s="20">
        <f t="shared" si="1"/>
        <v>1</v>
      </c>
    </row>
    <row r="9" spans="1:18" ht="25" x14ac:dyDescent="0.35">
      <c r="A9" s="17" t="s">
        <v>198</v>
      </c>
      <c r="B9" s="12" t="s">
        <v>199</v>
      </c>
      <c r="C9" s="20" t="s">
        <v>2010</v>
      </c>
      <c r="D9" s="20" t="s">
        <v>2019</v>
      </c>
      <c r="E9" s="20"/>
      <c r="F9" s="20"/>
      <c r="G9" s="20" t="s">
        <v>2020</v>
      </c>
      <c r="H9" s="20"/>
      <c r="I9" s="20"/>
      <c r="J9" s="20"/>
      <c r="K9" s="20"/>
      <c r="L9" s="20"/>
      <c r="M9" s="20"/>
      <c r="P9" s="17" t="s">
        <v>2021</v>
      </c>
      <c r="Q9" s="12" t="s">
        <v>2022</v>
      </c>
      <c r="R9" s="20">
        <f t="shared" si="1"/>
        <v>10</v>
      </c>
    </row>
    <row r="10" spans="1:18" ht="37.5" x14ac:dyDescent="0.35">
      <c r="A10" s="17" t="s">
        <v>201</v>
      </c>
      <c r="B10" s="12" t="s">
        <v>202</v>
      </c>
      <c r="C10" s="20"/>
      <c r="D10" s="20"/>
      <c r="E10" s="20" t="s">
        <v>2023</v>
      </c>
      <c r="F10" s="20"/>
      <c r="G10" s="20" t="s">
        <v>2020</v>
      </c>
      <c r="H10" s="20"/>
      <c r="I10" s="20"/>
      <c r="J10" s="20"/>
      <c r="K10" s="20"/>
      <c r="L10" s="20"/>
      <c r="M10" s="20"/>
      <c r="P10" s="17" t="s">
        <v>2024</v>
      </c>
      <c r="Q10" s="12" t="s">
        <v>2025</v>
      </c>
      <c r="R10" s="20">
        <f t="shared" si="1"/>
        <v>1</v>
      </c>
    </row>
    <row r="11" spans="1:18" ht="25" x14ac:dyDescent="0.35">
      <c r="A11" s="17" t="s">
        <v>204</v>
      </c>
      <c r="B11" s="12" t="s">
        <v>205</v>
      </c>
      <c r="C11" s="20" t="s">
        <v>2010</v>
      </c>
      <c r="D11" s="20"/>
      <c r="E11" s="20"/>
      <c r="F11" s="20"/>
      <c r="G11" s="20"/>
      <c r="H11" s="20"/>
      <c r="I11" s="20"/>
      <c r="J11" s="20" t="s">
        <v>2021</v>
      </c>
      <c r="K11" s="20"/>
      <c r="L11" s="20"/>
      <c r="M11" s="20"/>
      <c r="P11" s="17" t="s">
        <v>2026</v>
      </c>
      <c r="Q11" s="12" t="s">
        <v>2027</v>
      </c>
      <c r="R11" s="20">
        <f t="shared" si="1"/>
        <v>1</v>
      </c>
    </row>
    <row r="12" spans="1:18" ht="25" x14ac:dyDescent="0.35">
      <c r="A12" s="17" t="s">
        <v>207</v>
      </c>
      <c r="B12" s="12" t="s">
        <v>208</v>
      </c>
      <c r="C12" s="20"/>
      <c r="D12" s="20"/>
      <c r="E12" s="20"/>
      <c r="F12" s="20"/>
      <c r="G12" s="20"/>
      <c r="H12" s="20"/>
      <c r="I12" s="20"/>
      <c r="J12" s="20"/>
      <c r="K12" s="20"/>
      <c r="L12" s="20"/>
      <c r="M12" s="20"/>
      <c r="P12" s="17" t="s">
        <v>2028</v>
      </c>
      <c r="Q12" s="12" t="s">
        <v>2029</v>
      </c>
      <c r="R12" s="20">
        <f t="shared" si="1"/>
        <v>3</v>
      </c>
    </row>
    <row r="13" spans="1:18" ht="37.5" x14ac:dyDescent="0.35">
      <c r="A13" s="17" t="s">
        <v>210</v>
      </c>
      <c r="B13" s="12" t="s">
        <v>211</v>
      </c>
      <c r="C13" s="20"/>
      <c r="D13" s="20"/>
      <c r="E13" s="20" t="s">
        <v>2030</v>
      </c>
      <c r="F13" s="20"/>
      <c r="G13" s="20" t="s">
        <v>2015</v>
      </c>
      <c r="H13" s="20"/>
      <c r="I13" s="20"/>
      <c r="J13" s="20"/>
      <c r="K13" s="20"/>
      <c r="L13" s="20"/>
      <c r="M13" s="20"/>
      <c r="P13" s="17" t="s">
        <v>2031</v>
      </c>
      <c r="Q13" s="12" t="s">
        <v>2032</v>
      </c>
      <c r="R13" s="20">
        <f t="shared" si="1"/>
        <v>4</v>
      </c>
    </row>
    <row r="14" spans="1:18" ht="50" x14ac:dyDescent="0.35">
      <c r="A14" s="17" t="s">
        <v>213</v>
      </c>
      <c r="B14" s="12" t="s">
        <v>214</v>
      </c>
      <c r="C14" s="20"/>
      <c r="D14" s="20"/>
      <c r="E14" s="20" t="s">
        <v>2023</v>
      </c>
      <c r="F14" s="20"/>
      <c r="G14" s="20" t="s">
        <v>2020</v>
      </c>
      <c r="H14" s="20"/>
      <c r="I14" s="20"/>
      <c r="J14" s="20"/>
      <c r="K14" s="20"/>
      <c r="L14" s="20"/>
      <c r="M14" s="20"/>
      <c r="P14" s="17" t="s">
        <v>2033</v>
      </c>
      <c r="Q14" s="12" t="s">
        <v>2034</v>
      </c>
      <c r="R14" s="20">
        <f t="shared" si="1"/>
        <v>1</v>
      </c>
    </row>
    <row r="15" spans="1:18" ht="37.5" x14ac:dyDescent="0.35">
      <c r="A15" s="17" t="s">
        <v>216</v>
      </c>
      <c r="B15" s="12" t="s">
        <v>217</v>
      </c>
      <c r="C15" s="20"/>
      <c r="D15" s="20" t="s">
        <v>2019</v>
      </c>
      <c r="E15" s="20"/>
      <c r="F15" s="20"/>
      <c r="G15" s="20" t="s">
        <v>2035</v>
      </c>
      <c r="H15" s="20"/>
      <c r="I15" s="20"/>
      <c r="J15" s="20"/>
      <c r="K15" s="20"/>
      <c r="L15" s="20"/>
      <c r="M15" s="20" t="s">
        <v>2036</v>
      </c>
      <c r="P15" s="17" t="s">
        <v>2019</v>
      </c>
      <c r="Q15" s="12" t="s">
        <v>2037</v>
      </c>
      <c r="R15" s="20">
        <f t="shared" si="1"/>
        <v>6</v>
      </c>
    </row>
    <row r="16" spans="1:18" ht="37.5" x14ac:dyDescent="0.35">
      <c r="A16" s="17" t="s">
        <v>219</v>
      </c>
      <c r="B16" s="12" t="s">
        <v>220</v>
      </c>
      <c r="C16" s="20" t="s">
        <v>2010</v>
      </c>
      <c r="D16" s="20"/>
      <c r="E16" s="20"/>
      <c r="F16" s="20" t="s">
        <v>2038</v>
      </c>
      <c r="G16" s="20"/>
      <c r="H16" s="20"/>
      <c r="I16" s="20"/>
      <c r="J16" s="20"/>
      <c r="K16" s="20"/>
      <c r="L16" s="20"/>
      <c r="M16" s="20" t="s">
        <v>2036</v>
      </c>
      <c r="P16" s="17" t="s">
        <v>2038</v>
      </c>
      <c r="Q16" s="12" t="s">
        <v>2039</v>
      </c>
      <c r="R16" s="20">
        <f t="shared" si="1"/>
        <v>6</v>
      </c>
    </row>
    <row r="17" spans="1:18" ht="25" x14ac:dyDescent="0.35">
      <c r="A17" s="17" t="s">
        <v>222</v>
      </c>
      <c r="B17" s="12" t="s">
        <v>223</v>
      </c>
      <c r="C17" s="20" t="s">
        <v>2010</v>
      </c>
      <c r="D17" s="20"/>
      <c r="E17" s="20"/>
      <c r="F17" s="20" t="s">
        <v>2038</v>
      </c>
      <c r="G17" s="20"/>
      <c r="H17" s="20"/>
      <c r="I17" s="20"/>
      <c r="J17" s="20"/>
      <c r="K17" s="20"/>
      <c r="L17" s="20"/>
      <c r="M17" s="20"/>
      <c r="P17" s="17" t="s">
        <v>2040</v>
      </c>
      <c r="Q17" s="12" t="s">
        <v>2041</v>
      </c>
      <c r="R17" s="20">
        <f t="shared" si="1"/>
        <v>5</v>
      </c>
    </row>
    <row r="18" spans="1:18" ht="37.5" x14ac:dyDescent="0.35">
      <c r="A18" s="17" t="s">
        <v>225</v>
      </c>
      <c r="B18" s="12" t="s">
        <v>226</v>
      </c>
      <c r="C18" s="20" t="s">
        <v>2010</v>
      </c>
      <c r="D18" s="20"/>
      <c r="E18" s="20"/>
      <c r="F18" s="20" t="s">
        <v>2038</v>
      </c>
      <c r="G18" s="20"/>
      <c r="H18" s="20"/>
      <c r="I18" s="20"/>
      <c r="J18" s="20" t="s">
        <v>2021</v>
      </c>
      <c r="K18" s="20"/>
      <c r="L18" s="20"/>
      <c r="M18" s="20"/>
      <c r="P18" s="17" t="s">
        <v>2042</v>
      </c>
      <c r="Q18" s="12" t="s">
        <v>2043</v>
      </c>
      <c r="R18" s="20">
        <f t="shared" si="1"/>
        <v>3</v>
      </c>
    </row>
    <row r="19" spans="1:18" ht="37.5" x14ac:dyDescent="0.35">
      <c r="A19" s="17" t="s">
        <v>228</v>
      </c>
      <c r="B19" s="12" t="s">
        <v>229</v>
      </c>
      <c r="C19" s="20" t="s">
        <v>2010</v>
      </c>
      <c r="D19" s="20" t="s">
        <v>2019</v>
      </c>
      <c r="E19" s="20"/>
      <c r="F19" s="20"/>
      <c r="G19" s="20"/>
      <c r="H19" s="20"/>
      <c r="I19" s="20"/>
      <c r="J19" s="20"/>
      <c r="K19" s="20"/>
      <c r="L19" s="20"/>
      <c r="M19" s="20" t="s">
        <v>2036</v>
      </c>
      <c r="P19" s="17" t="s">
        <v>2044</v>
      </c>
      <c r="Q19" s="12" t="s">
        <v>2045</v>
      </c>
      <c r="R19" s="20">
        <f t="shared" si="1"/>
        <v>1</v>
      </c>
    </row>
    <row r="20" spans="1:18" ht="25" x14ac:dyDescent="0.35">
      <c r="A20" s="17" t="s">
        <v>231</v>
      </c>
      <c r="B20" s="12" t="s">
        <v>232</v>
      </c>
      <c r="C20" s="20"/>
      <c r="D20" s="20"/>
      <c r="E20" s="20" t="s">
        <v>2011</v>
      </c>
      <c r="F20" s="20" t="s">
        <v>2038</v>
      </c>
      <c r="G20" s="20"/>
      <c r="H20" s="20"/>
      <c r="I20" s="20"/>
      <c r="J20" s="20"/>
      <c r="K20" s="20"/>
      <c r="L20" s="20"/>
      <c r="M20" s="20"/>
      <c r="P20" s="17" t="s">
        <v>2046</v>
      </c>
      <c r="Q20" s="12" t="s">
        <v>2047</v>
      </c>
      <c r="R20" s="20">
        <f t="shared" si="1"/>
        <v>10</v>
      </c>
    </row>
    <row r="21" spans="1:18" ht="25" x14ac:dyDescent="0.35">
      <c r="A21" s="17" t="s">
        <v>234</v>
      </c>
      <c r="B21" s="12" t="s">
        <v>235</v>
      </c>
      <c r="C21" s="20"/>
      <c r="D21" s="20"/>
      <c r="E21" s="20"/>
      <c r="F21" s="20"/>
      <c r="G21" s="20" t="s">
        <v>2048</v>
      </c>
      <c r="H21" s="20"/>
      <c r="I21" s="20"/>
      <c r="J21" s="20"/>
      <c r="K21" s="20"/>
      <c r="L21" s="20"/>
      <c r="M21" s="20"/>
      <c r="P21" s="17" t="s">
        <v>2049</v>
      </c>
      <c r="Q21" s="12" t="s">
        <v>2050</v>
      </c>
      <c r="R21" s="20">
        <f t="shared" si="1"/>
        <v>1</v>
      </c>
    </row>
    <row r="22" spans="1:18" ht="50" x14ac:dyDescent="0.35">
      <c r="A22" s="17" t="s">
        <v>237</v>
      </c>
      <c r="B22" s="12" t="s">
        <v>238</v>
      </c>
      <c r="C22" s="20"/>
      <c r="D22" s="20"/>
      <c r="E22" s="20"/>
      <c r="F22" s="20"/>
      <c r="G22" s="20" t="s">
        <v>2051</v>
      </c>
      <c r="H22" s="20"/>
      <c r="I22" s="20"/>
      <c r="J22" s="20"/>
      <c r="K22" s="20"/>
      <c r="L22" s="20"/>
      <c r="M22" s="20"/>
      <c r="P22" s="17" t="s">
        <v>2014</v>
      </c>
      <c r="Q22" s="12" t="s">
        <v>2052</v>
      </c>
      <c r="R22" s="20">
        <f t="shared" si="1"/>
        <v>1</v>
      </c>
    </row>
    <row r="23" spans="1:18" ht="25" x14ac:dyDescent="0.35">
      <c r="A23" s="17" t="s">
        <v>240</v>
      </c>
      <c r="B23" s="12" t="s">
        <v>241</v>
      </c>
      <c r="C23" s="20"/>
      <c r="D23" s="20"/>
      <c r="E23" s="20"/>
      <c r="F23" s="20"/>
      <c r="G23" s="20" t="s">
        <v>2042</v>
      </c>
      <c r="H23" s="20"/>
      <c r="I23" s="20"/>
      <c r="J23" s="20"/>
      <c r="K23" s="20"/>
      <c r="L23" s="20"/>
      <c r="M23" s="20"/>
      <c r="P23" s="17" t="s">
        <v>2053</v>
      </c>
      <c r="Q23" s="12" t="s">
        <v>2054</v>
      </c>
      <c r="R23" s="20">
        <f t="shared" si="1"/>
        <v>1</v>
      </c>
    </row>
    <row r="24" spans="1:18" ht="37.5" x14ac:dyDescent="0.35">
      <c r="A24" s="17" t="s">
        <v>243</v>
      </c>
      <c r="B24" s="12" t="s">
        <v>244</v>
      </c>
      <c r="C24" s="20"/>
      <c r="D24" s="20"/>
      <c r="E24" s="20"/>
      <c r="F24" s="20"/>
      <c r="G24" s="20"/>
      <c r="H24" s="20" t="s">
        <v>2055</v>
      </c>
      <c r="I24" s="20"/>
      <c r="J24" s="20"/>
      <c r="K24" s="20"/>
      <c r="L24" s="20"/>
      <c r="M24" s="20"/>
      <c r="P24" s="17" t="s">
        <v>2056</v>
      </c>
      <c r="Q24" s="12" t="s">
        <v>2057</v>
      </c>
      <c r="R24" s="20">
        <f t="shared" si="1"/>
        <v>1</v>
      </c>
    </row>
    <row r="25" spans="1:18" ht="25" x14ac:dyDescent="0.35">
      <c r="A25" s="17" t="s">
        <v>246</v>
      </c>
      <c r="B25" s="12" t="s">
        <v>247</v>
      </c>
      <c r="C25" s="20"/>
      <c r="D25" s="20"/>
      <c r="E25" s="20"/>
      <c r="F25" s="20"/>
      <c r="G25" s="20" t="s">
        <v>2058</v>
      </c>
      <c r="H25" s="20"/>
      <c r="I25" s="20"/>
      <c r="J25" s="20"/>
      <c r="K25" s="20"/>
      <c r="L25" s="20"/>
      <c r="M25" s="20"/>
      <c r="P25" s="17" t="s">
        <v>2059</v>
      </c>
      <c r="Q25" s="12" t="s">
        <v>2060</v>
      </c>
      <c r="R25" s="20">
        <f t="shared" si="1"/>
        <v>1</v>
      </c>
    </row>
    <row r="26" spans="1:18" ht="37.5" x14ac:dyDescent="0.35">
      <c r="A26" s="17" t="s">
        <v>249</v>
      </c>
      <c r="B26" s="12" t="s">
        <v>250</v>
      </c>
      <c r="C26" s="20"/>
      <c r="D26" s="20"/>
      <c r="E26" s="20"/>
      <c r="F26" s="20"/>
      <c r="G26" s="20"/>
      <c r="H26" s="20" t="s">
        <v>2061</v>
      </c>
      <c r="I26" s="20"/>
      <c r="J26" s="20"/>
      <c r="K26" s="20"/>
      <c r="L26" s="20"/>
      <c r="M26" s="20"/>
      <c r="P26" s="17" t="s">
        <v>2010</v>
      </c>
      <c r="Q26" s="12" t="s">
        <v>2062</v>
      </c>
      <c r="R26" s="20">
        <f t="shared" si="1"/>
        <v>12</v>
      </c>
    </row>
    <row r="27" spans="1:18" ht="25" x14ac:dyDescent="0.35">
      <c r="A27" s="17" t="s">
        <v>252</v>
      </c>
      <c r="B27" s="12" t="s">
        <v>253</v>
      </c>
      <c r="C27" s="20"/>
      <c r="D27" s="20" t="s">
        <v>2019</v>
      </c>
      <c r="E27" s="20"/>
      <c r="F27" s="20"/>
      <c r="G27" s="20" t="s">
        <v>2063</v>
      </c>
      <c r="H27" s="20"/>
      <c r="I27" s="20"/>
      <c r="J27" s="20"/>
      <c r="K27" s="20"/>
      <c r="L27" s="20"/>
      <c r="M27" s="20" t="s">
        <v>2036</v>
      </c>
      <c r="P27" s="17" t="s">
        <v>2064</v>
      </c>
      <c r="Q27" s="12" t="s">
        <v>2065</v>
      </c>
      <c r="R27" s="20">
        <f t="shared" si="1"/>
        <v>1</v>
      </c>
    </row>
    <row r="28" spans="1:18" ht="25" x14ac:dyDescent="0.35">
      <c r="A28" s="17" t="s">
        <v>255</v>
      </c>
      <c r="B28" s="12" t="s">
        <v>256</v>
      </c>
      <c r="C28" s="20"/>
      <c r="D28" s="20"/>
      <c r="E28" s="20"/>
      <c r="F28" s="20"/>
      <c r="G28" s="20" t="s">
        <v>2066</v>
      </c>
      <c r="H28" s="20"/>
      <c r="I28" s="20" t="s">
        <v>2031</v>
      </c>
      <c r="J28" s="20" t="s">
        <v>2021</v>
      </c>
      <c r="K28" s="20"/>
      <c r="L28" s="20"/>
      <c r="M28" s="20"/>
      <c r="P28" s="17" t="s">
        <v>2067</v>
      </c>
      <c r="Q28" s="12" t="s">
        <v>2068</v>
      </c>
      <c r="R28" s="20">
        <f t="shared" si="1"/>
        <v>2</v>
      </c>
    </row>
    <row r="29" spans="1:18" ht="25" x14ac:dyDescent="0.35">
      <c r="A29" s="17" t="s">
        <v>258</v>
      </c>
      <c r="B29" s="12" t="s">
        <v>259</v>
      </c>
      <c r="C29" s="20"/>
      <c r="D29" s="20" t="s">
        <v>2019</v>
      </c>
      <c r="E29" s="20"/>
      <c r="F29" s="20" t="s">
        <v>2038</v>
      </c>
      <c r="G29" s="20"/>
      <c r="H29" s="20"/>
      <c r="I29" s="20"/>
      <c r="J29" s="20"/>
      <c r="K29" s="20"/>
      <c r="L29" s="20"/>
      <c r="M29" s="20"/>
      <c r="P29" s="17" t="s">
        <v>2007</v>
      </c>
      <c r="Q29" s="12" t="s">
        <v>2069</v>
      </c>
      <c r="R29" s="20">
        <f t="shared" si="1"/>
        <v>1</v>
      </c>
    </row>
    <row r="30" spans="1:18" ht="50" x14ac:dyDescent="0.35">
      <c r="A30" s="17" t="s">
        <v>261</v>
      </c>
      <c r="B30" s="12" t="s">
        <v>262</v>
      </c>
      <c r="C30" s="20"/>
      <c r="D30" s="20"/>
      <c r="E30" s="20" t="s">
        <v>2070</v>
      </c>
      <c r="F30" s="20"/>
      <c r="G30" s="20" t="s">
        <v>2015</v>
      </c>
      <c r="H30" s="20"/>
      <c r="I30" s="20"/>
      <c r="J30" s="20"/>
      <c r="K30" s="20"/>
      <c r="L30" s="20"/>
      <c r="M30" s="20"/>
      <c r="P30" s="17" t="s">
        <v>2071</v>
      </c>
      <c r="Q30" s="12" t="s">
        <v>2072</v>
      </c>
      <c r="R30" s="20">
        <f t="shared" si="1"/>
        <v>1</v>
      </c>
    </row>
    <row r="31" spans="1:18" ht="25" x14ac:dyDescent="0.35">
      <c r="A31" s="17" t="s">
        <v>264</v>
      </c>
      <c r="B31" s="12" t="s">
        <v>265</v>
      </c>
      <c r="C31" s="20" t="s">
        <v>2010</v>
      </c>
      <c r="D31" s="20"/>
      <c r="E31" s="20"/>
      <c r="F31" s="20"/>
      <c r="G31" s="20"/>
      <c r="H31" s="20"/>
      <c r="I31" s="20"/>
      <c r="J31" s="20"/>
      <c r="K31" s="20"/>
      <c r="L31" s="20"/>
      <c r="M31" s="20"/>
      <c r="P31" s="17" t="s">
        <v>2073</v>
      </c>
      <c r="Q31" s="12" t="s">
        <v>2074</v>
      </c>
      <c r="R31" s="20">
        <f t="shared" si="1"/>
        <v>2</v>
      </c>
    </row>
    <row r="32" spans="1:18" ht="37.5" x14ac:dyDescent="0.35">
      <c r="A32" s="17" t="s">
        <v>267</v>
      </c>
      <c r="B32" s="12" t="s">
        <v>268</v>
      </c>
      <c r="C32" s="20" t="s">
        <v>2010</v>
      </c>
      <c r="D32" s="20"/>
      <c r="E32" s="20"/>
      <c r="F32" s="20"/>
      <c r="G32" s="20"/>
      <c r="H32" s="20"/>
      <c r="I32" s="20" t="s">
        <v>2031</v>
      </c>
      <c r="J32" s="20"/>
      <c r="K32" s="20"/>
      <c r="L32" s="20"/>
      <c r="M32" s="20"/>
      <c r="P32" s="17" t="s">
        <v>2036</v>
      </c>
      <c r="Q32" s="12" t="s">
        <v>2075</v>
      </c>
      <c r="R32" s="20">
        <f t="shared" si="1"/>
        <v>7</v>
      </c>
    </row>
    <row r="33" spans="1:18" ht="25" x14ac:dyDescent="0.35">
      <c r="A33" s="17" t="s">
        <v>270</v>
      </c>
      <c r="B33" s="12" t="s">
        <v>271</v>
      </c>
      <c r="C33" s="20"/>
      <c r="D33" s="20"/>
      <c r="E33" s="20"/>
      <c r="F33" s="20"/>
      <c r="G33" s="20"/>
      <c r="H33" s="20" t="s">
        <v>2076</v>
      </c>
      <c r="I33" s="20" t="s">
        <v>2031</v>
      </c>
      <c r="J33" s="20"/>
      <c r="K33" s="20"/>
      <c r="L33" s="20"/>
      <c r="M33" s="20"/>
      <c r="P33" s="17" t="s">
        <v>2077</v>
      </c>
      <c r="Q33" s="12" t="s">
        <v>2078</v>
      </c>
      <c r="R33" s="20">
        <f t="shared" si="1"/>
        <v>5</v>
      </c>
    </row>
    <row r="34" spans="1:18" ht="37.5" x14ac:dyDescent="0.35">
      <c r="A34" s="17" t="s">
        <v>273</v>
      </c>
      <c r="B34" s="12" t="s">
        <v>274</v>
      </c>
      <c r="C34" s="20" t="s">
        <v>2010</v>
      </c>
      <c r="D34" s="20"/>
      <c r="E34" s="20"/>
      <c r="F34" s="20" t="s">
        <v>2038</v>
      </c>
      <c r="G34" s="20"/>
      <c r="H34" s="20"/>
      <c r="I34" s="20"/>
      <c r="J34" s="20"/>
      <c r="K34" s="20"/>
      <c r="L34" s="20"/>
      <c r="M34" s="20"/>
      <c r="P34" s="17" t="s">
        <v>2079</v>
      </c>
      <c r="Q34" s="12" t="s">
        <v>2080</v>
      </c>
      <c r="R34" s="20">
        <f t="shared" si="1"/>
        <v>1</v>
      </c>
    </row>
    <row r="35" spans="1:18" ht="25" x14ac:dyDescent="0.35">
      <c r="A35" s="17" t="s">
        <v>276</v>
      </c>
      <c r="B35" s="12" t="s">
        <v>277</v>
      </c>
      <c r="C35" s="20" t="s">
        <v>2081</v>
      </c>
      <c r="D35" s="20"/>
      <c r="E35" s="20"/>
      <c r="F35" s="20"/>
      <c r="G35" s="20"/>
      <c r="H35" s="20"/>
      <c r="I35" s="20" t="s">
        <v>2031</v>
      </c>
      <c r="J35" s="20" t="s">
        <v>2021</v>
      </c>
      <c r="K35" s="20"/>
      <c r="L35" s="20"/>
      <c r="M35" s="20"/>
      <c r="P35" s="17" t="s">
        <v>2030</v>
      </c>
      <c r="Q35" s="12" t="s">
        <v>2082</v>
      </c>
      <c r="R35" s="20">
        <f t="shared" si="1"/>
        <v>3</v>
      </c>
    </row>
    <row r="36" spans="1:18" ht="25" x14ac:dyDescent="0.35">
      <c r="A36" s="17" t="s">
        <v>279</v>
      </c>
      <c r="B36" s="12" t="s">
        <v>280</v>
      </c>
      <c r="C36" s="20" t="s">
        <v>2049</v>
      </c>
      <c r="D36" s="20"/>
      <c r="E36" s="20"/>
      <c r="F36" s="20"/>
      <c r="G36" s="20"/>
      <c r="H36" s="20"/>
      <c r="I36" s="20"/>
      <c r="J36" s="20"/>
      <c r="K36" s="20"/>
      <c r="L36" s="20"/>
      <c r="M36" s="20"/>
      <c r="P36" s="17" t="s">
        <v>2011</v>
      </c>
      <c r="Q36" s="12" t="s">
        <v>2083</v>
      </c>
      <c r="R36" s="20">
        <f t="shared" si="1"/>
        <v>2</v>
      </c>
    </row>
    <row r="37" spans="1:18" ht="50" x14ac:dyDescent="0.35">
      <c r="A37" s="17" t="s">
        <v>282</v>
      </c>
      <c r="B37" s="12" t="s">
        <v>283</v>
      </c>
      <c r="C37" s="20" t="s">
        <v>2046</v>
      </c>
      <c r="D37" s="20"/>
      <c r="E37" s="20"/>
      <c r="F37" s="20"/>
      <c r="G37" s="20"/>
      <c r="H37" s="20" t="s">
        <v>2053</v>
      </c>
      <c r="I37" s="20"/>
      <c r="J37" s="20" t="s">
        <v>2084</v>
      </c>
      <c r="K37" s="20"/>
      <c r="L37" s="20"/>
      <c r="M37" s="20"/>
      <c r="P37" s="17" t="s">
        <v>2023</v>
      </c>
      <c r="Q37" s="12" t="s">
        <v>2085</v>
      </c>
      <c r="R37" s="20">
        <f t="shared" si="1"/>
        <v>2</v>
      </c>
    </row>
    <row r="38" spans="1:18" ht="50" x14ac:dyDescent="0.35">
      <c r="A38" s="17" t="s">
        <v>285</v>
      </c>
      <c r="B38" s="12" t="s">
        <v>286</v>
      </c>
      <c r="C38" s="20"/>
      <c r="D38" s="20"/>
      <c r="E38" s="20"/>
      <c r="F38" s="20" t="s">
        <v>2086</v>
      </c>
      <c r="G38" s="20"/>
      <c r="H38" s="20"/>
      <c r="I38" s="20"/>
      <c r="J38" s="20"/>
      <c r="K38" s="20" t="s">
        <v>2012</v>
      </c>
      <c r="L38" s="20"/>
      <c r="M38" s="20"/>
      <c r="P38" s="17" t="s">
        <v>2087</v>
      </c>
      <c r="Q38" s="12" t="s">
        <v>2088</v>
      </c>
      <c r="R38" s="20">
        <f t="shared" si="1"/>
        <v>1</v>
      </c>
    </row>
    <row r="39" spans="1:18" ht="50" x14ac:dyDescent="0.35">
      <c r="A39" s="17" t="s">
        <v>288</v>
      </c>
      <c r="B39" s="12" t="s">
        <v>289</v>
      </c>
      <c r="C39" s="20" t="s">
        <v>2046</v>
      </c>
      <c r="D39" s="20"/>
      <c r="E39" s="20" t="s">
        <v>2059</v>
      </c>
      <c r="F39" s="20"/>
      <c r="G39" s="20"/>
      <c r="H39" s="20"/>
      <c r="I39" s="20"/>
      <c r="J39" s="20"/>
      <c r="K39" s="20"/>
      <c r="L39" s="20"/>
      <c r="M39" s="20"/>
      <c r="P39" s="17" t="s">
        <v>2089</v>
      </c>
      <c r="Q39" s="12" t="s">
        <v>2090</v>
      </c>
      <c r="R39" s="20">
        <f t="shared" si="1"/>
        <v>2</v>
      </c>
    </row>
    <row r="40" spans="1:18" ht="25" x14ac:dyDescent="0.35">
      <c r="A40" s="17" t="s">
        <v>291</v>
      </c>
      <c r="B40" s="12" t="s">
        <v>292</v>
      </c>
      <c r="C40" s="20" t="s">
        <v>2046</v>
      </c>
      <c r="D40" s="20"/>
      <c r="E40" s="20"/>
      <c r="F40" s="20"/>
      <c r="G40" s="20"/>
      <c r="H40" s="20"/>
      <c r="I40" s="20"/>
      <c r="J40" s="20"/>
      <c r="K40" s="20"/>
      <c r="L40" s="20"/>
      <c r="M40" s="20"/>
      <c r="P40" s="17" t="s">
        <v>2091</v>
      </c>
      <c r="Q40" s="12" t="s">
        <v>2092</v>
      </c>
      <c r="R40" s="20">
        <f t="shared" si="1"/>
        <v>1</v>
      </c>
    </row>
    <row r="41" spans="1:18" ht="37.5" x14ac:dyDescent="0.35">
      <c r="A41" s="17" t="s">
        <v>294</v>
      </c>
      <c r="B41" s="12" t="s">
        <v>295</v>
      </c>
      <c r="C41" s="20" t="s">
        <v>2067</v>
      </c>
      <c r="D41" s="20"/>
      <c r="E41" s="20"/>
      <c r="F41" s="20"/>
      <c r="G41" s="20"/>
      <c r="H41" s="20"/>
      <c r="I41" s="20"/>
      <c r="J41" s="20" t="s">
        <v>2093</v>
      </c>
      <c r="K41" s="20"/>
      <c r="L41" s="20"/>
      <c r="M41" s="20"/>
      <c r="P41" s="17" t="s">
        <v>2094</v>
      </c>
      <c r="Q41" s="12" t="s">
        <v>2095</v>
      </c>
      <c r="R41" s="20">
        <f t="shared" si="1"/>
        <v>2</v>
      </c>
    </row>
    <row r="42" spans="1:18" ht="25" x14ac:dyDescent="0.35">
      <c r="A42" s="17" t="s">
        <v>297</v>
      </c>
      <c r="B42" s="12" t="s">
        <v>298</v>
      </c>
      <c r="C42" s="20"/>
      <c r="D42" s="20"/>
      <c r="E42" s="20"/>
      <c r="F42" s="20"/>
      <c r="G42" s="20"/>
      <c r="H42" s="20" t="s">
        <v>2008</v>
      </c>
      <c r="I42" s="20"/>
      <c r="J42" s="20" t="s">
        <v>2094</v>
      </c>
      <c r="K42" s="20"/>
      <c r="L42" s="20"/>
      <c r="M42" s="20"/>
      <c r="P42" s="17" t="s">
        <v>2076</v>
      </c>
      <c r="Q42" s="12" t="s">
        <v>2096</v>
      </c>
      <c r="R42" s="20">
        <f t="shared" si="1"/>
        <v>2</v>
      </c>
    </row>
    <row r="43" spans="1:18" ht="25" x14ac:dyDescent="0.35">
      <c r="A43" s="17" t="s">
        <v>300</v>
      </c>
      <c r="B43" s="12" t="s">
        <v>301</v>
      </c>
      <c r="C43" s="20"/>
      <c r="D43" s="20"/>
      <c r="E43" s="20"/>
      <c r="F43" s="20" t="s">
        <v>2046</v>
      </c>
      <c r="G43" s="20"/>
      <c r="H43" s="20" t="s">
        <v>2097</v>
      </c>
      <c r="I43" s="20"/>
      <c r="J43" s="20"/>
      <c r="K43" s="20"/>
      <c r="L43" s="20"/>
      <c r="M43" s="20"/>
      <c r="P43" s="17" t="s">
        <v>2055</v>
      </c>
      <c r="Q43" s="12" t="s">
        <v>2098</v>
      </c>
      <c r="R43" s="20">
        <f t="shared" si="1"/>
        <v>1</v>
      </c>
    </row>
    <row r="44" spans="1:18" ht="25" x14ac:dyDescent="0.35">
      <c r="A44" s="17" t="s">
        <v>303</v>
      </c>
      <c r="B44" s="12" t="s">
        <v>304</v>
      </c>
      <c r="C44" s="20"/>
      <c r="D44" s="20"/>
      <c r="E44" s="20"/>
      <c r="F44" s="20" t="s">
        <v>2091</v>
      </c>
      <c r="G44" s="20"/>
      <c r="H44" s="20"/>
      <c r="I44" s="20"/>
      <c r="J44" s="20"/>
      <c r="K44" s="20"/>
      <c r="L44" s="20"/>
      <c r="M44" s="20"/>
      <c r="P44" s="17" t="s">
        <v>2061</v>
      </c>
      <c r="Q44" s="12" t="s">
        <v>2099</v>
      </c>
      <c r="R44" s="20">
        <f t="shared" si="1"/>
        <v>3</v>
      </c>
    </row>
    <row r="45" spans="1:18" ht="25" x14ac:dyDescent="0.35">
      <c r="A45" s="17" t="s">
        <v>306</v>
      </c>
      <c r="B45" s="12" t="s">
        <v>307</v>
      </c>
      <c r="C45" s="20"/>
      <c r="D45" s="20"/>
      <c r="E45" s="20"/>
      <c r="F45" s="20"/>
      <c r="G45" s="20"/>
      <c r="H45" s="20" t="s">
        <v>2100</v>
      </c>
      <c r="I45" s="20"/>
      <c r="J45" s="20" t="s">
        <v>2021</v>
      </c>
      <c r="K45" s="20"/>
      <c r="L45" s="20"/>
      <c r="M45" s="20"/>
      <c r="P45" s="17" t="s">
        <v>2097</v>
      </c>
      <c r="Q45" s="12" t="s">
        <v>2101</v>
      </c>
      <c r="R45" s="20">
        <f t="shared" si="1"/>
        <v>1</v>
      </c>
    </row>
    <row r="46" spans="1:18" ht="25" x14ac:dyDescent="0.35">
      <c r="A46" s="17" t="s">
        <v>309</v>
      </c>
      <c r="B46" s="12" t="s">
        <v>310</v>
      </c>
      <c r="C46" s="20"/>
      <c r="D46" s="20"/>
      <c r="E46" s="20"/>
      <c r="F46" s="20" t="s">
        <v>2046</v>
      </c>
      <c r="G46" s="20"/>
      <c r="H46" s="20" t="s">
        <v>2008</v>
      </c>
      <c r="I46" s="20"/>
      <c r="J46" s="20" t="s">
        <v>2021</v>
      </c>
      <c r="K46" s="20"/>
      <c r="L46" s="20"/>
      <c r="M46" s="20"/>
      <c r="P46" s="17" t="s">
        <v>2020</v>
      </c>
      <c r="Q46" s="12" t="s">
        <v>2102</v>
      </c>
      <c r="R46" s="20">
        <f t="shared" si="1"/>
        <v>8</v>
      </c>
    </row>
    <row r="47" spans="1:18" ht="25" x14ac:dyDescent="0.35">
      <c r="A47" s="17" t="s">
        <v>312</v>
      </c>
      <c r="B47" s="12" t="s">
        <v>313</v>
      </c>
      <c r="C47" s="20"/>
      <c r="D47" s="20"/>
      <c r="E47" s="20"/>
      <c r="F47" s="20"/>
      <c r="G47" s="20"/>
      <c r="H47" s="20"/>
      <c r="I47" s="20"/>
      <c r="J47" s="20"/>
      <c r="K47" s="20"/>
      <c r="L47" s="20"/>
      <c r="M47" s="20" t="s">
        <v>2103</v>
      </c>
      <c r="P47" s="17" t="s">
        <v>2063</v>
      </c>
      <c r="Q47" s="12" t="s">
        <v>2104</v>
      </c>
      <c r="R47" s="20">
        <f t="shared" si="1"/>
        <v>1</v>
      </c>
    </row>
    <row r="48" spans="1:18" ht="50" x14ac:dyDescent="0.35">
      <c r="A48" s="17" t="s">
        <v>315</v>
      </c>
      <c r="B48" s="12" t="s">
        <v>316</v>
      </c>
      <c r="C48" s="20"/>
      <c r="D48" s="20"/>
      <c r="E48" s="20"/>
      <c r="F48" s="20"/>
      <c r="G48" s="20"/>
      <c r="H48" s="20"/>
      <c r="I48" s="20"/>
      <c r="J48" s="20"/>
      <c r="K48" s="20"/>
      <c r="L48" s="20"/>
      <c r="M48" s="20" t="s">
        <v>2077</v>
      </c>
      <c r="P48" s="17" t="s">
        <v>2105</v>
      </c>
      <c r="Q48" s="12" t="s">
        <v>2106</v>
      </c>
      <c r="R48" s="20">
        <f t="shared" si="1"/>
        <v>2</v>
      </c>
    </row>
    <row r="49" spans="1:18" ht="50" x14ac:dyDescent="0.35">
      <c r="A49" s="17" t="s">
        <v>318</v>
      </c>
      <c r="B49" s="12" t="s">
        <v>319</v>
      </c>
      <c r="C49" s="20"/>
      <c r="D49" s="20"/>
      <c r="E49" s="20"/>
      <c r="F49" s="20"/>
      <c r="G49" s="20"/>
      <c r="H49" s="20"/>
      <c r="I49" s="20"/>
      <c r="J49" s="20"/>
      <c r="K49" s="20"/>
      <c r="L49" s="20"/>
      <c r="M49" s="20" t="s">
        <v>2077</v>
      </c>
      <c r="P49" s="17" t="s">
        <v>2066</v>
      </c>
      <c r="Q49" s="12" t="s">
        <v>2107</v>
      </c>
      <c r="R49" s="20">
        <f t="shared" si="1"/>
        <v>1</v>
      </c>
    </row>
    <row r="50" spans="1:18" ht="37.5" x14ac:dyDescent="0.35">
      <c r="A50" s="17" t="s">
        <v>321</v>
      </c>
      <c r="B50" s="12" t="s">
        <v>322</v>
      </c>
      <c r="C50" s="20"/>
      <c r="D50" s="20"/>
      <c r="E50" s="20"/>
      <c r="F50" s="20"/>
      <c r="G50" s="20"/>
      <c r="H50" s="20"/>
      <c r="I50" s="20"/>
      <c r="J50" s="20"/>
      <c r="K50" s="20"/>
      <c r="L50" s="20"/>
      <c r="M50" s="20" t="s">
        <v>2108</v>
      </c>
      <c r="P50" s="17" t="s">
        <v>2035</v>
      </c>
      <c r="Q50" s="12" t="s">
        <v>2109</v>
      </c>
      <c r="R50" s="20">
        <f t="shared" si="1"/>
        <v>1</v>
      </c>
    </row>
    <row r="51" spans="1:18" ht="25" x14ac:dyDescent="0.35">
      <c r="A51" s="17" t="s">
        <v>324</v>
      </c>
      <c r="B51" s="12" t="s">
        <v>325</v>
      </c>
      <c r="C51" s="20"/>
      <c r="D51" s="20"/>
      <c r="E51" s="20"/>
      <c r="F51" s="20"/>
      <c r="G51" s="20"/>
      <c r="H51" s="20"/>
      <c r="I51" s="20"/>
      <c r="J51" s="20"/>
      <c r="K51" s="20" t="s">
        <v>2012</v>
      </c>
      <c r="L51" s="20" t="s">
        <v>2033</v>
      </c>
      <c r="M51" s="20"/>
      <c r="P51" s="17" t="s">
        <v>2110</v>
      </c>
      <c r="Q51" s="12" t="s">
        <v>2111</v>
      </c>
      <c r="R51" s="20">
        <f t="shared" si="1"/>
        <v>1</v>
      </c>
    </row>
    <row r="52" spans="1:18" ht="25" x14ac:dyDescent="0.35">
      <c r="A52" s="17" t="s">
        <v>327</v>
      </c>
      <c r="B52" s="12" t="s">
        <v>328</v>
      </c>
      <c r="C52" s="20"/>
      <c r="D52" s="20"/>
      <c r="E52" s="20"/>
      <c r="F52" s="20" t="s">
        <v>2046</v>
      </c>
      <c r="G52" s="20"/>
      <c r="H52" s="20"/>
      <c r="I52" s="20"/>
      <c r="J52" s="20"/>
      <c r="K52" s="20"/>
      <c r="L52" s="20"/>
      <c r="M52" s="20" t="s">
        <v>2077</v>
      </c>
    </row>
    <row r="53" spans="1:18" x14ac:dyDescent="0.35">
      <c r="A53" s="17" t="s">
        <v>330</v>
      </c>
      <c r="B53" s="12" t="s">
        <v>331</v>
      </c>
      <c r="C53" s="20"/>
      <c r="D53" s="20"/>
      <c r="E53" s="20"/>
      <c r="F53" s="20"/>
      <c r="G53" s="20"/>
      <c r="H53" s="20"/>
      <c r="I53" s="20"/>
      <c r="J53" s="20"/>
      <c r="K53" s="20" t="s">
        <v>2012</v>
      </c>
      <c r="L53" s="20"/>
      <c r="M53" s="20"/>
      <c r="P53" s="15" t="s">
        <v>2112</v>
      </c>
    </row>
    <row r="54" spans="1:18" ht="25" x14ac:dyDescent="0.35">
      <c r="A54" s="17" t="s">
        <v>333</v>
      </c>
      <c r="B54" s="12" t="s">
        <v>334</v>
      </c>
      <c r="C54" s="20"/>
      <c r="D54" s="20"/>
      <c r="E54" s="20"/>
      <c r="F54" s="20"/>
      <c r="G54" s="20"/>
      <c r="H54" s="20" t="s">
        <v>2113</v>
      </c>
      <c r="I54" s="20"/>
      <c r="J54" s="20"/>
      <c r="K54" s="20"/>
      <c r="L54" s="20"/>
      <c r="M54" s="20"/>
    </row>
    <row r="55" spans="1:18" ht="25" x14ac:dyDescent="0.35">
      <c r="A55" s="17" t="s">
        <v>336</v>
      </c>
      <c r="B55" s="12" t="s">
        <v>337</v>
      </c>
      <c r="C55" s="20"/>
      <c r="D55" s="20"/>
      <c r="E55" s="20"/>
      <c r="F55" s="20"/>
      <c r="G55" s="20" t="s">
        <v>2071</v>
      </c>
      <c r="H55" s="20"/>
      <c r="I55" s="20"/>
      <c r="J55" s="20"/>
      <c r="K55" s="20" t="s">
        <v>2012</v>
      </c>
      <c r="L55" s="20"/>
      <c r="M55" s="20"/>
    </row>
    <row r="56" spans="1:18" ht="25" x14ac:dyDescent="0.35">
      <c r="A56" s="17" t="s">
        <v>339</v>
      </c>
      <c r="B56" s="12" t="s">
        <v>340</v>
      </c>
      <c r="C56" s="20"/>
      <c r="D56" s="20"/>
      <c r="E56" s="20"/>
      <c r="F56" s="20"/>
      <c r="G56" s="20"/>
      <c r="H56" s="20"/>
      <c r="I56" s="20" t="s">
        <v>2017</v>
      </c>
      <c r="J56" s="20"/>
      <c r="K56" s="20"/>
      <c r="L56" s="20"/>
      <c r="M56" s="20"/>
    </row>
    <row r="57" spans="1:18" ht="25" x14ac:dyDescent="0.35">
      <c r="A57" s="17" t="s">
        <v>342</v>
      </c>
      <c r="B57" s="12" t="s">
        <v>343</v>
      </c>
      <c r="C57" s="20"/>
      <c r="D57" s="20"/>
      <c r="E57" s="20"/>
      <c r="F57" s="20"/>
      <c r="G57" s="20"/>
      <c r="H57" s="20"/>
      <c r="I57" s="20"/>
      <c r="J57" s="20"/>
      <c r="K57" s="20"/>
      <c r="L57" s="20"/>
      <c r="M57" s="20"/>
    </row>
    <row r="58" spans="1:18" ht="37.5" x14ac:dyDescent="0.35">
      <c r="A58" s="17" t="s">
        <v>345</v>
      </c>
      <c r="B58" s="12" t="s">
        <v>346</v>
      </c>
      <c r="C58" s="20"/>
      <c r="D58" s="20"/>
      <c r="E58" s="20"/>
      <c r="F58" s="20"/>
      <c r="G58" s="20"/>
      <c r="H58" s="20"/>
      <c r="I58" s="20"/>
      <c r="J58" s="20"/>
      <c r="K58" s="20"/>
      <c r="L58" s="20"/>
      <c r="M58" s="20"/>
    </row>
    <row r="59" spans="1:18" ht="37.5" x14ac:dyDescent="0.35">
      <c r="A59" s="17" t="s">
        <v>348</v>
      </c>
      <c r="B59" s="12" t="s">
        <v>349</v>
      </c>
      <c r="C59" s="20" t="s">
        <v>2114</v>
      </c>
      <c r="D59" s="20"/>
      <c r="E59" s="20"/>
      <c r="F59" s="20"/>
      <c r="G59" s="20"/>
      <c r="H59" s="20"/>
      <c r="I59" s="20"/>
      <c r="J59" s="20"/>
      <c r="K59" s="20"/>
      <c r="L59" s="20"/>
      <c r="M59" s="20"/>
    </row>
    <row r="60" spans="1:18" ht="25" x14ac:dyDescent="0.35">
      <c r="A60" s="17" t="s">
        <v>351</v>
      </c>
      <c r="B60" s="12" t="s">
        <v>352</v>
      </c>
      <c r="C60" s="20" t="s">
        <v>2010</v>
      </c>
      <c r="D60" s="20"/>
      <c r="E60" s="20"/>
      <c r="F60" s="20"/>
      <c r="G60" s="20"/>
      <c r="H60" s="20"/>
      <c r="I60" s="20"/>
      <c r="J60" s="20" t="s">
        <v>2021</v>
      </c>
      <c r="K60" s="20"/>
      <c r="L60" s="20"/>
      <c r="M60" s="20" t="s">
        <v>2036</v>
      </c>
    </row>
    <row r="61" spans="1:18" ht="25" x14ac:dyDescent="0.35">
      <c r="A61" s="17" t="s">
        <v>354</v>
      </c>
      <c r="B61" s="12" t="s">
        <v>355</v>
      </c>
      <c r="C61" s="20" t="s">
        <v>2046</v>
      </c>
      <c r="D61" s="20"/>
      <c r="E61" s="20"/>
      <c r="F61" s="20" t="s">
        <v>2046</v>
      </c>
      <c r="G61" s="20"/>
      <c r="H61" s="20"/>
      <c r="I61" s="20"/>
      <c r="J61" s="20"/>
      <c r="K61" s="20"/>
      <c r="L61" s="20"/>
      <c r="M61" s="20"/>
    </row>
    <row r="62" spans="1:18" ht="25" x14ac:dyDescent="0.35">
      <c r="A62" s="17" t="s">
        <v>357</v>
      </c>
      <c r="B62" s="12" t="s">
        <v>358</v>
      </c>
      <c r="C62" s="20"/>
      <c r="D62" s="20"/>
      <c r="E62" s="20"/>
      <c r="F62" s="20" t="s">
        <v>2110</v>
      </c>
      <c r="G62" s="20"/>
      <c r="H62" s="20"/>
      <c r="I62" s="20"/>
      <c r="J62" s="20"/>
      <c r="K62" s="20" t="s">
        <v>2012</v>
      </c>
      <c r="L62" s="20"/>
      <c r="M62" s="20"/>
    </row>
    <row r="63" spans="1:18" ht="25" x14ac:dyDescent="0.35">
      <c r="A63" s="17" t="s">
        <v>360</v>
      </c>
      <c r="B63" s="12" t="s">
        <v>361</v>
      </c>
      <c r="C63" s="20"/>
      <c r="D63" s="20"/>
      <c r="E63" s="20"/>
      <c r="F63" s="20"/>
      <c r="G63" s="20"/>
      <c r="H63" s="20" t="s">
        <v>2028</v>
      </c>
      <c r="I63" s="20"/>
      <c r="J63" s="20" t="s">
        <v>2021</v>
      </c>
      <c r="K63" s="20"/>
      <c r="L63" s="20"/>
      <c r="M63" s="20"/>
    </row>
    <row r="64" spans="1:18" ht="25" x14ac:dyDescent="0.35">
      <c r="A64" s="17" t="s">
        <v>363</v>
      </c>
      <c r="B64" s="12" t="s">
        <v>364</v>
      </c>
      <c r="C64" s="20"/>
      <c r="D64" s="20" t="s">
        <v>2019</v>
      </c>
      <c r="E64" s="20"/>
      <c r="F64" s="20"/>
      <c r="G64" s="20" t="s">
        <v>2040</v>
      </c>
      <c r="H64" s="20"/>
      <c r="I64" s="20"/>
      <c r="J64" s="20"/>
      <c r="K64" s="20"/>
      <c r="L64" s="20"/>
      <c r="M64" s="20" t="s">
        <v>2036</v>
      </c>
    </row>
  </sheetData>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sheetPr>
  <dimension ref="A1:I64"/>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14" customWidth="1"/>
    <col min="2" max="2" width="46" customWidth="1"/>
    <col min="3" max="8" width="14" customWidth="1"/>
    <col min="9" max="9" width="10" customWidth="1"/>
  </cols>
  <sheetData>
    <row r="1" spans="1:9" ht="20" x14ac:dyDescent="0.4">
      <c r="A1" s="8" t="s">
        <v>2115</v>
      </c>
    </row>
    <row r="2" spans="1:9" x14ac:dyDescent="0.35">
      <c r="A2" s="6" t="s">
        <v>2116</v>
      </c>
      <c r="B2" s="9" t="s">
        <v>2117</v>
      </c>
      <c r="C2" s="50">
        <f t="shared" ref="C2:H2" si="0">COUNTIF(C5:C64,"●")</f>
        <v>15</v>
      </c>
      <c r="D2" s="50">
        <f t="shared" si="0"/>
        <v>4</v>
      </c>
      <c r="E2" s="50">
        <f t="shared" si="0"/>
        <v>10</v>
      </c>
      <c r="F2" s="50">
        <f t="shared" si="0"/>
        <v>1</v>
      </c>
      <c r="G2" s="50">
        <f t="shared" si="0"/>
        <v>9</v>
      </c>
      <c r="H2" s="50">
        <f t="shared" si="0"/>
        <v>42</v>
      </c>
    </row>
    <row r="3" spans="1:9" x14ac:dyDescent="0.35">
      <c r="B3" s="9" t="s">
        <v>2118</v>
      </c>
      <c r="C3" s="51">
        <f t="shared" ref="C3:H3" si="1">IF(COUNTA($A$5:$A$64)=0,0,C2/COUNTA($A$5:$A$64))</f>
        <v>0.25</v>
      </c>
      <c r="D3" s="51">
        <f t="shared" si="1"/>
        <v>6.6666666666666666E-2</v>
      </c>
      <c r="E3" s="51">
        <f t="shared" si="1"/>
        <v>0.16666666666666666</v>
      </c>
      <c r="F3" s="51">
        <f t="shared" si="1"/>
        <v>1.6666666666666666E-2</v>
      </c>
      <c r="G3" s="51">
        <f t="shared" si="1"/>
        <v>0.15</v>
      </c>
      <c r="H3" s="51">
        <f t="shared" si="1"/>
        <v>0.7</v>
      </c>
    </row>
    <row r="4" spans="1:9" ht="31.5" customHeight="1" x14ac:dyDescent="0.35">
      <c r="A4" s="11" t="s">
        <v>134</v>
      </c>
      <c r="B4" s="11" t="s">
        <v>164</v>
      </c>
      <c r="C4" s="11" t="s">
        <v>989</v>
      </c>
      <c r="D4" s="11" t="s">
        <v>2119</v>
      </c>
      <c r="E4" s="11" t="s">
        <v>2120</v>
      </c>
      <c r="F4" s="11" t="s">
        <v>2121</v>
      </c>
      <c r="G4" s="11" t="s">
        <v>2122</v>
      </c>
      <c r="H4" s="11" t="s">
        <v>2123</v>
      </c>
      <c r="I4" s="11" t="s">
        <v>2124</v>
      </c>
    </row>
    <row r="5" spans="1:9" x14ac:dyDescent="0.35">
      <c r="A5" s="17" t="s">
        <v>185</v>
      </c>
      <c r="B5" s="12" t="s">
        <v>187</v>
      </c>
      <c r="C5" s="20"/>
      <c r="D5" s="20"/>
      <c r="E5" s="20"/>
      <c r="F5" s="20"/>
      <c r="G5" s="20"/>
      <c r="H5" s="20" t="s">
        <v>1031</v>
      </c>
      <c r="I5" s="20">
        <f t="shared" ref="I5:I36" si="2">COUNTIF(C5:H5,"●")</f>
        <v>1</v>
      </c>
    </row>
    <row r="6" spans="1:9" ht="25" x14ac:dyDescent="0.35">
      <c r="A6" s="17" t="s">
        <v>189</v>
      </c>
      <c r="B6" s="12" t="s">
        <v>190</v>
      </c>
      <c r="C6" s="20"/>
      <c r="D6" s="20"/>
      <c r="E6" s="20" t="s">
        <v>1031</v>
      </c>
      <c r="F6" s="20"/>
      <c r="G6" s="20"/>
      <c r="H6" s="20" t="s">
        <v>1031</v>
      </c>
      <c r="I6" s="20">
        <f t="shared" si="2"/>
        <v>2</v>
      </c>
    </row>
    <row r="7" spans="1:9" x14ac:dyDescent="0.35">
      <c r="A7" s="17" t="s">
        <v>192</v>
      </c>
      <c r="B7" s="12" t="s">
        <v>193</v>
      </c>
      <c r="C7" s="20"/>
      <c r="D7" s="20"/>
      <c r="E7" s="20"/>
      <c r="F7" s="20"/>
      <c r="G7" s="20"/>
      <c r="H7" s="20" t="s">
        <v>1031</v>
      </c>
      <c r="I7" s="20">
        <f t="shared" si="2"/>
        <v>1</v>
      </c>
    </row>
    <row r="8" spans="1:9" ht="25" x14ac:dyDescent="0.35">
      <c r="A8" s="17" t="s">
        <v>195</v>
      </c>
      <c r="B8" s="12" t="s">
        <v>196</v>
      </c>
      <c r="C8" s="20"/>
      <c r="D8" s="20"/>
      <c r="E8" s="20"/>
      <c r="F8" s="20"/>
      <c r="G8" s="20" t="s">
        <v>1031</v>
      </c>
      <c r="H8" s="20"/>
      <c r="I8" s="20">
        <f t="shared" si="2"/>
        <v>1</v>
      </c>
    </row>
    <row r="9" spans="1:9" ht="25" x14ac:dyDescent="0.35">
      <c r="A9" s="17" t="s">
        <v>198</v>
      </c>
      <c r="B9" s="12" t="s">
        <v>199</v>
      </c>
      <c r="C9" s="20"/>
      <c r="D9" s="20"/>
      <c r="E9" s="20"/>
      <c r="F9" s="20"/>
      <c r="G9" s="20"/>
      <c r="H9" s="20" t="s">
        <v>1031</v>
      </c>
      <c r="I9" s="20">
        <f t="shared" si="2"/>
        <v>1</v>
      </c>
    </row>
    <row r="10" spans="1:9" ht="25" x14ac:dyDescent="0.35">
      <c r="A10" s="17" t="s">
        <v>201</v>
      </c>
      <c r="B10" s="12" t="s">
        <v>202</v>
      </c>
      <c r="C10" s="20"/>
      <c r="D10" s="20"/>
      <c r="E10" s="20"/>
      <c r="F10" s="20"/>
      <c r="G10" s="20"/>
      <c r="H10" s="20" t="s">
        <v>1031</v>
      </c>
      <c r="I10" s="20">
        <f t="shared" si="2"/>
        <v>1</v>
      </c>
    </row>
    <row r="11" spans="1:9" ht="25" x14ac:dyDescent="0.35">
      <c r="A11" s="17" t="s">
        <v>204</v>
      </c>
      <c r="B11" s="12" t="s">
        <v>205</v>
      </c>
      <c r="C11" s="20"/>
      <c r="D11" s="20"/>
      <c r="E11" s="20"/>
      <c r="F11" s="20"/>
      <c r="G11" s="20"/>
      <c r="H11" s="20" t="s">
        <v>1031</v>
      </c>
      <c r="I11" s="20">
        <f t="shared" si="2"/>
        <v>1</v>
      </c>
    </row>
    <row r="12" spans="1:9" ht="25" x14ac:dyDescent="0.35">
      <c r="A12" s="17" t="s">
        <v>207</v>
      </c>
      <c r="B12" s="12" t="s">
        <v>208</v>
      </c>
      <c r="C12" s="20" t="s">
        <v>1031</v>
      </c>
      <c r="D12" s="20"/>
      <c r="E12" s="20"/>
      <c r="F12" s="20"/>
      <c r="G12" s="20"/>
      <c r="H12" s="20"/>
      <c r="I12" s="20">
        <f t="shared" si="2"/>
        <v>1</v>
      </c>
    </row>
    <row r="13" spans="1:9" x14ac:dyDescent="0.35">
      <c r="A13" s="17" t="s">
        <v>210</v>
      </c>
      <c r="B13" s="12" t="s">
        <v>211</v>
      </c>
      <c r="C13" s="20"/>
      <c r="D13" s="20" t="s">
        <v>1031</v>
      </c>
      <c r="E13" s="20"/>
      <c r="F13" s="20"/>
      <c r="G13" s="20"/>
      <c r="H13" s="20" t="s">
        <v>1031</v>
      </c>
      <c r="I13" s="20">
        <f t="shared" si="2"/>
        <v>2</v>
      </c>
    </row>
    <row r="14" spans="1:9" ht="25" x14ac:dyDescent="0.35">
      <c r="A14" s="17" t="s">
        <v>213</v>
      </c>
      <c r="B14" s="12" t="s">
        <v>214</v>
      </c>
      <c r="C14" s="20"/>
      <c r="D14" s="20"/>
      <c r="E14" s="20"/>
      <c r="F14" s="20"/>
      <c r="G14" s="20"/>
      <c r="H14" s="20" t="s">
        <v>1031</v>
      </c>
      <c r="I14" s="20">
        <f t="shared" si="2"/>
        <v>1</v>
      </c>
    </row>
    <row r="15" spans="1:9" ht="25" x14ac:dyDescent="0.35">
      <c r="A15" s="17" t="s">
        <v>216</v>
      </c>
      <c r="B15" s="12" t="s">
        <v>217</v>
      </c>
      <c r="C15" s="20"/>
      <c r="D15" s="20"/>
      <c r="E15" s="20"/>
      <c r="F15" s="20" t="s">
        <v>1031</v>
      </c>
      <c r="G15" s="20"/>
      <c r="H15" s="20" t="s">
        <v>1031</v>
      </c>
      <c r="I15" s="20">
        <f t="shared" si="2"/>
        <v>2</v>
      </c>
    </row>
    <row r="16" spans="1:9" ht="25" x14ac:dyDescent="0.35">
      <c r="A16" s="17" t="s">
        <v>219</v>
      </c>
      <c r="B16" s="12" t="s">
        <v>220</v>
      </c>
      <c r="C16" s="20"/>
      <c r="D16" s="20"/>
      <c r="E16" s="20"/>
      <c r="F16" s="20"/>
      <c r="G16" s="20"/>
      <c r="H16" s="20" t="s">
        <v>1031</v>
      </c>
      <c r="I16" s="20">
        <f t="shared" si="2"/>
        <v>1</v>
      </c>
    </row>
    <row r="17" spans="1:9" ht="25" x14ac:dyDescent="0.35">
      <c r="A17" s="17" t="s">
        <v>222</v>
      </c>
      <c r="B17" s="12" t="s">
        <v>223</v>
      </c>
      <c r="C17" s="20"/>
      <c r="D17" s="20"/>
      <c r="E17" s="20"/>
      <c r="F17" s="20"/>
      <c r="G17" s="20"/>
      <c r="H17" s="20" t="s">
        <v>1031</v>
      </c>
      <c r="I17" s="20">
        <f t="shared" si="2"/>
        <v>1</v>
      </c>
    </row>
    <row r="18" spans="1:9" ht="25" x14ac:dyDescent="0.35">
      <c r="A18" s="17" t="s">
        <v>225</v>
      </c>
      <c r="B18" s="12" t="s">
        <v>226</v>
      </c>
      <c r="C18" s="20"/>
      <c r="D18" s="20"/>
      <c r="E18" s="20"/>
      <c r="F18" s="20"/>
      <c r="G18" s="20"/>
      <c r="H18" s="20" t="s">
        <v>1031</v>
      </c>
      <c r="I18" s="20">
        <f t="shared" si="2"/>
        <v>1</v>
      </c>
    </row>
    <row r="19" spans="1:9" ht="25" x14ac:dyDescent="0.35">
      <c r="A19" s="17" t="s">
        <v>228</v>
      </c>
      <c r="B19" s="12" t="s">
        <v>229</v>
      </c>
      <c r="C19" s="20"/>
      <c r="D19" s="20"/>
      <c r="E19" s="20"/>
      <c r="F19" s="20"/>
      <c r="G19" s="20"/>
      <c r="H19" s="20" t="s">
        <v>1031</v>
      </c>
      <c r="I19" s="20">
        <f t="shared" si="2"/>
        <v>1</v>
      </c>
    </row>
    <row r="20" spans="1:9" ht="25" x14ac:dyDescent="0.35">
      <c r="A20" s="17" t="s">
        <v>231</v>
      </c>
      <c r="B20" s="12" t="s">
        <v>232</v>
      </c>
      <c r="C20" s="20"/>
      <c r="D20" s="20"/>
      <c r="E20" s="20"/>
      <c r="F20" s="20"/>
      <c r="G20" s="20"/>
      <c r="H20" s="20" t="s">
        <v>1031</v>
      </c>
      <c r="I20" s="20">
        <f t="shared" si="2"/>
        <v>1</v>
      </c>
    </row>
    <row r="21" spans="1:9" x14ac:dyDescent="0.35">
      <c r="A21" s="17" t="s">
        <v>234</v>
      </c>
      <c r="B21" s="12" t="s">
        <v>235</v>
      </c>
      <c r="C21" s="20"/>
      <c r="D21" s="20"/>
      <c r="E21" s="20"/>
      <c r="F21" s="20"/>
      <c r="G21" s="20"/>
      <c r="H21" s="20" t="s">
        <v>1031</v>
      </c>
      <c r="I21" s="20">
        <f t="shared" si="2"/>
        <v>1</v>
      </c>
    </row>
    <row r="22" spans="1:9" ht="25" x14ac:dyDescent="0.35">
      <c r="A22" s="17" t="s">
        <v>237</v>
      </c>
      <c r="B22" s="12" t="s">
        <v>238</v>
      </c>
      <c r="C22" s="20"/>
      <c r="D22" s="20"/>
      <c r="E22" s="20"/>
      <c r="F22" s="20"/>
      <c r="G22" s="20"/>
      <c r="H22" s="20" t="s">
        <v>1031</v>
      </c>
      <c r="I22" s="20">
        <f t="shared" si="2"/>
        <v>1</v>
      </c>
    </row>
    <row r="23" spans="1:9" ht="25" x14ac:dyDescent="0.35">
      <c r="A23" s="17" t="s">
        <v>240</v>
      </c>
      <c r="B23" s="12" t="s">
        <v>241</v>
      </c>
      <c r="C23" s="20"/>
      <c r="D23" s="20"/>
      <c r="E23" s="20"/>
      <c r="F23" s="20"/>
      <c r="G23" s="20"/>
      <c r="H23" s="20" t="s">
        <v>1031</v>
      </c>
      <c r="I23" s="20">
        <f t="shared" si="2"/>
        <v>1</v>
      </c>
    </row>
    <row r="24" spans="1:9" ht="25" x14ac:dyDescent="0.35">
      <c r="A24" s="17" t="s">
        <v>243</v>
      </c>
      <c r="B24" s="12" t="s">
        <v>244</v>
      </c>
      <c r="C24" s="20"/>
      <c r="D24" s="20"/>
      <c r="E24" s="20"/>
      <c r="F24" s="20"/>
      <c r="G24" s="20" t="s">
        <v>1031</v>
      </c>
      <c r="H24" s="20"/>
      <c r="I24" s="20">
        <f t="shared" si="2"/>
        <v>1</v>
      </c>
    </row>
    <row r="25" spans="1:9" ht="25" x14ac:dyDescent="0.35">
      <c r="A25" s="17" t="s">
        <v>246</v>
      </c>
      <c r="B25" s="12" t="s">
        <v>247</v>
      </c>
      <c r="C25" s="20"/>
      <c r="D25" s="20"/>
      <c r="E25" s="20"/>
      <c r="F25" s="20"/>
      <c r="G25" s="20"/>
      <c r="H25" s="20" t="s">
        <v>1031</v>
      </c>
      <c r="I25" s="20">
        <f t="shared" si="2"/>
        <v>1</v>
      </c>
    </row>
    <row r="26" spans="1:9" ht="25" x14ac:dyDescent="0.35">
      <c r="A26" s="17" t="s">
        <v>249</v>
      </c>
      <c r="B26" s="12" t="s">
        <v>250</v>
      </c>
      <c r="C26" s="20"/>
      <c r="D26" s="20"/>
      <c r="E26" s="20" t="s">
        <v>1031</v>
      </c>
      <c r="F26" s="20"/>
      <c r="G26" s="20"/>
      <c r="H26" s="20" t="s">
        <v>1031</v>
      </c>
      <c r="I26" s="20">
        <f t="shared" si="2"/>
        <v>2</v>
      </c>
    </row>
    <row r="27" spans="1:9" ht="25" x14ac:dyDescent="0.35">
      <c r="A27" s="17" t="s">
        <v>252</v>
      </c>
      <c r="B27" s="12" t="s">
        <v>253</v>
      </c>
      <c r="C27" s="20"/>
      <c r="D27" s="20" t="s">
        <v>1031</v>
      </c>
      <c r="E27" s="20"/>
      <c r="F27" s="20"/>
      <c r="G27" s="20"/>
      <c r="H27" s="20" t="s">
        <v>1031</v>
      </c>
      <c r="I27" s="20">
        <f t="shared" si="2"/>
        <v>2</v>
      </c>
    </row>
    <row r="28" spans="1:9" x14ac:dyDescent="0.35">
      <c r="A28" s="17" t="s">
        <v>255</v>
      </c>
      <c r="B28" s="12" t="s">
        <v>256</v>
      </c>
      <c r="C28" s="20"/>
      <c r="D28" s="20"/>
      <c r="E28" s="20" t="s">
        <v>1031</v>
      </c>
      <c r="F28" s="20"/>
      <c r="G28" s="20"/>
      <c r="H28" s="20" t="s">
        <v>1031</v>
      </c>
      <c r="I28" s="20">
        <f t="shared" si="2"/>
        <v>2</v>
      </c>
    </row>
    <row r="29" spans="1:9" ht="25" x14ac:dyDescent="0.35">
      <c r="A29" s="17" t="s">
        <v>258</v>
      </c>
      <c r="B29" s="12" t="s">
        <v>259</v>
      </c>
      <c r="C29" s="20"/>
      <c r="D29" s="20"/>
      <c r="E29" s="20"/>
      <c r="F29" s="20"/>
      <c r="G29" s="20"/>
      <c r="H29" s="20" t="s">
        <v>1031</v>
      </c>
      <c r="I29" s="20">
        <f t="shared" si="2"/>
        <v>1</v>
      </c>
    </row>
    <row r="30" spans="1:9" ht="25" x14ac:dyDescent="0.35">
      <c r="A30" s="17" t="s">
        <v>261</v>
      </c>
      <c r="B30" s="12" t="s">
        <v>262</v>
      </c>
      <c r="C30" s="20"/>
      <c r="D30" s="20"/>
      <c r="E30" s="20"/>
      <c r="F30" s="20"/>
      <c r="G30" s="20"/>
      <c r="H30" s="20" t="s">
        <v>1031</v>
      </c>
      <c r="I30" s="20">
        <f t="shared" si="2"/>
        <v>1</v>
      </c>
    </row>
    <row r="31" spans="1:9" ht="25" x14ac:dyDescent="0.35">
      <c r="A31" s="17" t="s">
        <v>264</v>
      </c>
      <c r="B31" s="12" t="s">
        <v>265</v>
      </c>
      <c r="C31" s="20"/>
      <c r="D31" s="20"/>
      <c r="E31" s="20"/>
      <c r="F31" s="20"/>
      <c r="G31" s="20"/>
      <c r="H31" s="20" t="s">
        <v>1031</v>
      </c>
      <c r="I31" s="20">
        <f t="shared" si="2"/>
        <v>1</v>
      </c>
    </row>
    <row r="32" spans="1:9" ht="25" x14ac:dyDescent="0.35">
      <c r="A32" s="17" t="s">
        <v>267</v>
      </c>
      <c r="B32" s="12" t="s">
        <v>268</v>
      </c>
      <c r="C32" s="20"/>
      <c r="D32" s="20"/>
      <c r="E32" s="20"/>
      <c r="F32" s="20"/>
      <c r="G32" s="20"/>
      <c r="H32" s="20" t="s">
        <v>1031</v>
      </c>
      <c r="I32" s="20">
        <f t="shared" si="2"/>
        <v>1</v>
      </c>
    </row>
    <row r="33" spans="1:9" ht="25" x14ac:dyDescent="0.35">
      <c r="A33" s="17" t="s">
        <v>270</v>
      </c>
      <c r="B33" s="12" t="s">
        <v>271</v>
      </c>
      <c r="C33" s="20"/>
      <c r="D33" s="20"/>
      <c r="E33" s="20"/>
      <c r="F33" s="20"/>
      <c r="G33" s="20"/>
      <c r="H33" s="20" t="s">
        <v>1031</v>
      </c>
      <c r="I33" s="20">
        <f t="shared" si="2"/>
        <v>1</v>
      </c>
    </row>
    <row r="34" spans="1:9" ht="25" x14ac:dyDescent="0.35">
      <c r="A34" s="17" t="s">
        <v>273</v>
      </c>
      <c r="B34" s="12" t="s">
        <v>274</v>
      </c>
      <c r="C34" s="20"/>
      <c r="D34" s="20"/>
      <c r="E34" s="20"/>
      <c r="F34" s="20"/>
      <c r="G34" s="20"/>
      <c r="H34" s="20" t="s">
        <v>1031</v>
      </c>
      <c r="I34" s="20">
        <f t="shared" si="2"/>
        <v>1</v>
      </c>
    </row>
    <row r="35" spans="1:9" ht="25" x14ac:dyDescent="0.35">
      <c r="A35" s="17" t="s">
        <v>276</v>
      </c>
      <c r="B35" s="12" t="s">
        <v>277</v>
      </c>
      <c r="C35" s="20"/>
      <c r="D35" s="20"/>
      <c r="E35" s="20" t="s">
        <v>1031</v>
      </c>
      <c r="F35" s="20"/>
      <c r="G35" s="20"/>
      <c r="H35" s="20" t="s">
        <v>1031</v>
      </c>
      <c r="I35" s="20">
        <f t="shared" si="2"/>
        <v>2</v>
      </c>
    </row>
    <row r="36" spans="1:9" ht="25" x14ac:dyDescent="0.35">
      <c r="A36" s="17" t="s">
        <v>279</v>
      </c>
      <c r="B36" s="12" t="s">
        <v>280</v>
      </c>
      <c r="C36" s="20" t="s">
        <v>1031</v>
      </c>
      <c r="D36" s="20"/>
      <c r="E36" s="20"/>
      <c r="F36" s="20"/>
      <c r="G36" s="20"/>
      <c r="H36" s="20"/>
      <c r="I36" s="20">
        <f t="shared" si="2"/>
        <v>1</v>
      </c>
    </row>
    <row r="37" spans="1:9" ht="25" x14ac:dyDescent="0.35">
      <c r="A37" s="17" t="s">
        <v>282</v>
      </c>
      <c r="B37" s="12" t="s">
        <v>283</v>
      </c>
      <c r="C37" s="20" t="s">
        <v>1031</v>
      </c>
      <c r="D37" s="20"/>
      <c r="E37" s="20"/>
      <c r="F37" s="20"/>
      <c r="G37" s="20"/>
      <c r="H37" s="20"/>
      <c r="I37" s="20">
        <f t="shared" ref="I37:I68" si="3">COUNTIF(C37:H37,"●")</f>
        <v>1</v>
      </c>
    </row>
    <row r="38" spans="1:9" ht="25" x14ac:dyDescent="0.35">
      <c r="A38" s="17" t="s">
        <v>285</v>
      </c>
      <c r="B38" s="12" t="s">
        <v>286</v>
      </c>
      <c r="C38" s="20" t="s">
        <v>1031</v>
      </c>
      <c r="D38" s="20"/>
      <c r="E38" s="20"/>
      <c r="F38" s="20"/>
      <c r="G38" s="20" t="s">
        <v>1031</v>
      </c>
      <c r="H38" s="20"/>
      <c r="I38" s="20">
        <f t="shared" si="3"/>
        <v>2</v>
      </c>
    </row>
    <row r="39" spans="1:9" ht="25" x14ac:dyDescent="0.35">
      <c r="A39" s="17" t="s">
        <v>288</v>
      </c>
      <c r="B39" s="12" t="s">
        <v>289</v>
      </c>
      <c r="C39" s="20" t="s">
        <v>1031</v>
      </c>
      <c r="D39" s="20"/>
      <c r="E39" s="20"/>
      <c r="F39" s="20"/>
      <c r="G39" s="20"/>
      <c r="H39" s="20"/>
      <c r="I39" s="20">
        <f t="shared" si="3"/>
        <v>1</v>
      </c>
    </row>
    <row r="40" spans="1:9" ht="25" x14ac:dyDescent="0.35">
      <c r="A40" s="17" t="s">
        <v>291</v>
      </c>
      <c r="B40" s="12" t="s">
        <v>292</v>
      </c>
      <c r="C40" s="20" t="s">
        <v>1031</v>
      </c>
      <c r="D40" s="20"/>
      <c r="E40" s="20"/>
      <c r="F40" s="20"/>
      <c r="G40" s="20"/>
      <c r="H40" s="20"/>
      <c r="I40" s="20">
        <f t="shared" si="3"/>
        <v>1</v>
      </c>
    </row>
    <row r="41" spans="1:9" x14ac:dyDescent="0.35">
      <c r="A41" s="17" t="s">
        <v>294</v>
      </c>
      <c r="B41" s="12" t="s">
        <v>295</v>
      </c>
      <c r="C41" s="20" t="s">
        <v>1031</v>
      </c>
      <c r="D41" s="20"/>
      <c r="E41" s="20" t="s">
        <v>1031</v>
      </c>
      <c r="F41" s="20"/>
      <c r="G41" s="20"/>
      <c r="H41" s="20"/>
      <c r="I41" s="20">
        <f t="shared" si="3"/>
        <v>2</v>
      </c>
    </row>
    <row r="42" spans="1:9" ht="25" x14ac:dyDescent="0.35">
      <c r="A42" s="17" t="s">
        <v>297</v>
      </c>
      <c r="B42" s="12" t="s">
        <v>298</v>
      </c>
      <c r="C42" s="20" t="s">
        <v>1031</v>
      </c>
      <c r="D42" s="20"/>
      <c r="E42" s="20"/>
      <c r="F42" s="20"/>
      <c r="G42" s="20"/>
      <c r="H42" s="20"/>
      <c r="I42" s="20">
        <f t="shared" si="3"/>
        <v>1</v>
      </c>
    </row>
    <row r="43" spans="1:9" ht="25" x14ac:dyDescent="0.35">
      <c r="A43" s="17" t="s">
        <v>300</v>
      </c>
      <c r="B43" s="12" t="s">
        <v>301</v>
      </c>
      <c r="C43" s="20" t="s">
        <v>1031</v>
      </c>
      <c r="D43" s="20"/>
      <c r="E43" s="20"/>
      <c r="F43" s="20"/>
      <c r="G43" s="20"/>
      <c r="H43" s="20"/>
      <c r="I43" s="20">
        <f t="shared" si="3"/>
        <v>1</v>
      </c>
    </row>
    <row r="44" spans="1:9" ht="25" x14ac:dyDescent="0.35">
      <c r="A44" s="17" t="s">
        <v>303</v>
      </c>
      <c r="B44" s="12" t="s">
        <v>304</v>
      </c>
      <c r="C44" s="20" t="s">
        <v>1031</v>
      </c>
      <c r="D44" s="20"/>
      <c r="E44" s="20"/>
      <c r="F44" s="20"/>
      <c r="G44" s="20"/>
      <c r="H44" s="20"/>
      <c r="I44" s="20">
        <f t="shared" si="3"/>
        <v>1</v>
      </c>
    </row>
    <row r="45" spans="1:9" ht="25" x14ac:dyDescent="0.35">
      <c r="A45" s="17" t="s">
        <v>306</v>
      </c>
      <c r="B45" s="12" t="s">
        <v>307</v>
      </c>
      <c r="C45" s="20" t="s">
        <v>1031</v>
      </c>
      <c r="D45" s="20"/>
      <c r="E45" s="20" t="s">
        <v>1031</v>
      </c>
      <c r="F45" s="20"/>
      <c r="G45" s="20"/>
      <c r="H45" s="20"/>
      <c r="I45" s="20">
        <f t="shared" si="3"/>
        <v>2</v>
      </c>
    </row>
    <row r="46" spans="1:9" ht="25" x14ac:dyDescent="0.35">
      <c r="A46" s="17" t="s">
        <v>309</v>
      </c>
      <c r="B46" s="12" t="s">
        <v>310</v>
      </c>
      <c r="C46" s="20" t="s">
        <v>1031</v>
      </c>
      <c r="D46" s="20" t="s">
        <v>1031</v>
      </c>
      <c r="E46" s="20" t="s">
        <v>1031</v>
      </c>
      <c r="F46" s="20"/>
      <c r="G46" s="20"/>
      <c r="H46" s="20"/>
      <c r="I46" s="20">
        <f t="shared" si="3"/>
        <v>3</v>
      </c>
    </row>
    <row r="47" spans="1:9" ht="25" x14ac:dyDescent="0.35">
      <c r="A47" s="17" t="s">
        <v>312</v>
      </c>
      <c r="B47" s="12" t="s">
        <v>313</v>
      </c>
      <c r="C47" s="20"/>
      <c r="D47" s="20"/>
      <c r="E47" s="20"/>
      <c r="F47" s="20"/>
      <c r="G47" s="20" t="s">
        <v>1031</v>
      </c>
      <c r="H47" s="20" t="s">
        <v>1031</v>
      </c>
      <c r="I47" s="20">
        <f t="shared" si="3"/>
        <v>2</v>
      </c>
    </row>
    <row r="48" spans="1:9" ht="25" x14ac:dyDescent="0.35">
      <c r="A48" s="17" t="s">
        <v>315</v>
      </c>
      <c r="B48" s="12" t="s">
        <v>316</v>
      </c>
      <c r="C48" s="20"/>
      <c r="D48" s="20"/>
      <c r="E48" s="20"/>
      <c r="F48" s="20"/>
      <c r="G48" s="20"/>
      <c r="H48" s="20" t="s">
        <v>1031</v>
      </c>
      <c r="I48" s="20">
        <f t="shared" si="3"/>
        <v>1</v>
      </c>
    </row>
    <row r="49" spans="1:9" ht="25" x14ac:dyDescent="0.35">
      <c r="A49" s="17" t="s">
        <v>318</v>
      </c>
      <c r="B49" s="12" t="s">
        <v>319</v>
      </c>
      <c r="C49" s="20"/>
      <c r="D49" s="20"/>
      <c r="E49" s="20"/>
      <c r="F49" s="20"/>
      <c r="G49" s="20"/>
      <c r="H49" s="20" t="s">
        <v>1031</v>
      </c>
      <c r="I49" s="20">
        <f t="shared" si="3"/>
        <v>1</v>
      </c>
    </row>
    <row r="50" spans="1:9" x14ac:dyDescent="0.35">
      <c r="A50" s="17" t="s">
        <v>321</v>
      </c>
      <c r="B50" s="12" t="s">
        <v>322</v>
      </c>
      <c r="C50" s="20"/>
      <c r="D50" s="20"/>
      <c r="E50" s="20"/>
      <c r="F50" s="20"/>
      <c r="G50" s="20" t="s">
        <v>1031</v>
      </c>
      <c r="H50" s="20" t="s">
        <v>1031</v>
      </c>
      <c r="I50" s="20">
        <f t="shared" si="3"/>
        <v>2</v>
      </c>
    </row>
    <row r="51" spans="1:9" ht="25" x14ac:dyDescent="0.35">
      <c r="A51" s="17" t="s">
        <v>324</v>
      </c>
      <c r="B51" s="12" t="s">
        <v>325</v>
      </c>
      <c r="C51" s="20"/>
      <c r="D51" s="20"/>
      <c r="E51" s="20"/>
      <c r="F51" s="20"/>
      <c r="G51" s="20" t="s">
        <v>1031</v>
      </c>
      <c r="H51" s="20"/>
      <c r="I51" s="20">
        <f t="shared" si="3"/>
        <v>1</v>
      </c>
    </row>
    <row r="52" spans="1:9" ht="25" x14ac:dyDescent="0.35">
      <c r="A52" s="17" t="s">
        <v>327</v>
      </c>
      <c r="B52" s="12" t="s">
        <v>328</v>
      </c>
      <c r="C52" s="20" t="s">
        <v>1031</v>
      </c>
      <c r="D52" s="20"/>
      <c r="E52" s="20"/>
      <c r="F52" s="20"/>
      <c r="G52" s="20"/>
      <c r="H52" s="20" t="s">
        <v>1031</v>
      </c>
      <c r="I52" s="20">
        <f t="shared" si="3"/>
        <v>2</v>
      </c>
    </row>
    <row r="53" spans="1:9" x14ac:dyDescent="0.35">
      <c r="A53" s="17" t="s">
        <v>330</v>
      </c>
      <c r="B53" s="12" t="s">
        <v>331</v>
      </c>
      <c r="C53" s="20"/>
      <c r="D53" s="20"/>
      <c r="E53" s="20"/>
      <c r="F53" s="20"/>
      <c r="G53" s="20" t="s">
        <v>1031</v>
      </c>
      <c r="H53" s="20"/>
      <c r="I53" s="20">
        <f t="shared" si="3"/>
        <v>1</v>
      </c>
    </row>
    <row r="54" spans="1:9" ht="25" x14ac:dyDescent="0.35">
      <c r="A54" s="17" t="s">
        <v>333</v>
      </c>
      <c r="B54" s="12" t="s">
        <v>334</v>
      </c>
      <c r="C54" s="20"/>
      <c r="D54" s="20"/>
      <c r="E54" s="20" t="s">
        <v>1031</v>
      </c>
      <c r="F54" s="20"/>
      <c r="G54" s="20" t="s">
        <v>1031</v>
      </c>
      <c r="H54" s="20"/>
      <c r="I54" s="20">
        <f t="shared" si="3"/>
        <v>2</v>
      </c>
    </row>
    <row r="55" spans="1:9" ht="25" x14ac:dyDescent="0.35">
      <c r="A55" s="17" t="s">
        <v>336</v>
      </c>
      <c r="B55" s="12" t="s">
        <v>337</v>
      </c>
      <c r="C55" s="20"/>
      <c r="D55" s="20"/>
      <c r="E55" s="20"/>
      <c r="F55" s="20"/>
      <c r="G55" s="20" t="s">
        <v>1031</v>
      </c>
      <c r="H55" s="20"/>
      <c r="I55" s="20">
        <f t="shared" si="3"/>
        <v>1</v>
      </c>
    </row>
    <row r="56" spans="1:9" ht="25" x14ac:dyDescent="0.35">
      <c r="A56" s="17" t="s">
        <v>339</v>
      </c>
      <c r="B56" s="12" t="s">
        <v>340</v>
      </c>
      <c r="C56" s="20"/>
      <c r="D56" s="20"/>
      <c r="E56" s="20"/>
      <c r="F56" s="20"/>
      <c r="G56" s="20"/>
      <c r="H56" s="20" t="s">
        <v>1031</v>
      </c>
      <c r="I56" s="20">
        <f t="shared" si="3"/>
        <v>1</v>
      </c>
    </row>
    <row r="57" spans="1:9" ht="25" x14ac:dyDescent="0.35">
      <c r="A57" s="17" t="s">
        <v>342</v>
      </c>
      <c r="B57" s="12" t="s">
        <v>343</v>
      </c>
      <c r="C57" s="20"/>
      <c r="D57" s="20"/>
      <c r="E57" s="20"/>
      <c r="F57" s="20"/>
      <c r="G57" s="20"/>
      <c r="H57" s="20" t="s">
        <v>1031</v>
      </c>
      <c r="I57" s="20">
        <f t="shared" si="3"/>
        <v>1</v>
      </c>
    </row>
    <row r="58" spans="1:9" ht="25" x14ac:dyDescent="0.35">
      <c r="A58" s="17" t="s">
        <v>345</v>
      </c>
      <c r="B58" s="12" t="s">
        <v>346</v>
      </c>
      <c r="C58" s="20"/>
      <c r="D58" s="20"/>
      <c r="E58" s="20"/>
      <c r="F58" s="20"/>
      <c r="G58" s="20"/>
      <c r="H58" s="20" t="s">
        <v>1031</v>
      </c>
      <c r="I58" s="20">
        <f t="shared" si="3"/>
        <v>1</v>
      </c>
    </row>
    <row r="59" spans="1:9" ht="25" x14ac:dyDescent="0.35">
      <c r="A59" s="17" t="s">
        <v>348</v>
      </c>
      <c r="B59" s="12" t="s">
        <v>349</v>
      </c>
      <c r="C59" s="20" t="s">
        <v>1031</v>
      </c>
      <c r="D59" s="20"/>
      <c r="E59" s="20"/>
      <c r="F59" s="20"/>
      <c r="G59" s="20"/>
      <c r="H59" s="20" t="s">
        <v>1031</v>
      </c>
      <c r="I59" s="20">
        <f t="shared" si="3"/>
        <v>2</v>
      </c>
    </row>
    <row r="60" spans="1:9" ht="25" x14ac:dyDescent="0.35">
      <c r="A60" s="17" t="s">
        <v>351</v>
      </c>
      <c r="B60" s="12" t="s">
        <v>352</v>
      </c>
      <c r="C60" s="20"/>
      <c r="D60" s="20"/>
      <c r="E60" s="20" t="s">
        <v>1031</v>
      </c>
      <c r="F60" s="20"/>
      <c r="G60" s="20"/>
      <c r="H60" s="20" t="s">
        <v>1031</v>
      </c>
      <c r="I60" s="20">
        <f t="shared" si="3"/>
        <v>2</v>
      </c>
    </row>
    <row r="61" spans="1:9" ht="25" x14ac:dyDescent="0.35">
      <c r="A61" s="17" t="s">
        <v>354</v>
      </c>
      <c r="B61" s="12" t="s">
        <v>355</v>
      </c>
      <c r="C61" s="20" t="s">
        <v>1031</v>
      </c>
      <c r="D61" s="20"/>
      <c r="E61" s="20"/>
      <c r="F61" s="20"/>
      <c r="G61" s="20"/>
      <c r="H61" s="20" t="s">
        <v>1031</v>
      </c>
      <c r="I61" s="20">
        <f t="shared" si="3"/>
        <v>2</v>
      </c>
    </row>
    <row r="62" spans="1:9" ht="25" x14ac:dyDescent="0.35">
      <c r="A62" s="17" t="s">
        <v>357</v>
      </c>
      <c r="B62" s="12" t="s">
        <v>358</v>
      </c>
      <c r="C62" s="20"/>
      <c r="D62" s="20" t="s">
        <v>1031</v>
      </c>
      <c r="E62" s="20"/>
      <c r="F62" s="20"/>
      <c r="G62" s="20"/>
      <c r="H62" s="20" t="s">
        <v>1031</v>
      </c>
      <c r="I62" s="20">
        <f t="shared" si="3"/>
        <v>2</v>
      </c>
    </row>
    <row r="63" spans="1:9" ht="25" x14ac:dyDescent="0.35">
      <c r="A63" s="17" t="s">
        <v>360</v>
      </c>
      <c r="B63" s="12" t="s">
        <v>361</v>
      </c>
      <c r="C63" s="20"/>
      <c r="D63" s="20"/>
      <c r="E63" s="20" t="s">
        <v>1031</v>
      </c>
      <c r="F63" s="20"/>
      <c r="G63" s="20"/>
      <c r="H63" s="20" t="s">
        <v>1031</v>
      </c>
      <c r="I63" s="20">
        <f t="shared" si="3"/>
        <v>2</v>
      </c>
    </row>
    <row r="64" spans="1:9" ht="25" x14ac:dyDescent="0.35">
      <c r="A64" s="17" t="s">
        <v>363</v>
      </c>
      <c r="B64" s="12" t="s">
        <v>364</v>
      </c>
      <c r="C64" s="20"/>
      <c r="D64" s="20"/>
      <c r="E64" s="20"/>
      <c r="F64" s="20"/>
      <c r="G64" s="20"/>
      <c r="H64" s="20" t="s">
        <v>1031</v>
      </c>
      <c r="I64" s="20">
        <f t="shared" si="3"/>
        <v>1</v>
      </c>
    </row>
  </sheetData>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F18"/>
  <sheetViews>
    <sheetView showGridLines="0" zoomScaleNormal="100" workbookViewId="0"/>
  </sheetViews>
  <sheetFormatPr defaultColWidth="8.6328125" defaultRowHeight="14.5" x14ac:dyDescent="0.35"/>
  <cols>
    <col min="1" max="1" width="10" customWidth="1"/>
    <col min="2" max="2" width="16" customWidth="1"/>
    <col min="3" max="3" width="44" customWidth="1"/>
    <col min="4" max="6" width="40" customWidth="1"/>
  </cols>
  <sheetData>
    <row r="1" spans="1:6" ht="20" x14ac:dyDescent="0.4">
      <c r="A1" s="8" t="s">
        <v>2125</v>
      </c>
    </row>
    <row r="2" spans="1:6" x14ac:dyDescent="0.35">
      <c r="A2" s="6" t="s">
        <v>2126</v>
      </c>
    </row>
    <row r="4" spans="1:6" ht="31.5" customHeight="1" x14ac:dyDescent="0.35">
      <c r="A4" s="11" t="s">
        <v>2127</v>
      </c>
      <c r="B4" s="11" t="s">
        <v>2128</v>
      </c>
      <c r="C4" s="11" t="s">
        <v>2129</v>
      </c>
      <c r="D4" s="11" t="s">
        <v>2130</v>
      </c>
      <c r="E4" s="11" t="s">
        <v>2131</v>
      </c>
      <c r="F4" s="11" t="s">
        <v>2132</v>
      </c>
    </row>
    <row r="5" spans="1:6" ht="25" x14ac:dyDescent="0.35">
      <c r="A5" s="52">
        <v>0</v>
      </c>
      <c r="B5" s="17" t="s">
        <v>2133</v>
      </c>
      <c r="C5" s="12" t="s">
        <v>2134</v>
      </c>
      <c r="D5" s="12" t="s">
        <v>2135</v>
      </c>
      <c r="E5" s="12" t="s">
        <v>2136</v>
      </c>
      <c r="F5" s="12" t="s">
        <v>2137</v>
      </c>
    </row>
    <row r="6" spans="1:6" ht="25" x14ac:dyDescent="0.35">
      <c r="A6" s="52">
        <v>1</v>
      </c>
      <c r="B6" s="17" t="s">
        <v>2138</v>
      </c>
      <c r="C6" s="12" t="s">
        <v>2139</v>
      </c>
      <c r="D6" s="12" t="s">
        <v>2140</v>
      </c>
      <c r="E6" s="12" t="s">
        <v>2141</v>
      </c>
      <c r="F6" s="12" t="s">
        <v>2142</v>
      </c>
    </row>
    <row r="7" spans="1:6" ht="25" x14ac:dyDescent="0.35">
      <c r="A7" s="52">
        <v>2</v>
      </c>
      <c r="B7" s="17" t="s">
        <v>2143</v>
      </c>
      <c r="C7" s="12" t="s">
        <v>2144</v>
      </c>
      <c r="D7" s="12" t="s">
        <v>2145</v>
      </c>
      <c r="E7" s="12" t="s">
        <v>2146</v>
      </c>
      <c r="F7" s="12" t="s">
        <v>2147</v>
      </c>
    </row>
    <row r="8" spans="1:6" ht="37.5" x14ac:dyDescent="0.35">
      <c r="A8" s="52">
        <v>3</v>
      </c>
      <c r="B8" s="17" t="s">
        <v>2148</v>
      </c>
      <c r="C8" s="12" t="s">
        <v>2149</v>
      </c>
      <c r="D8" s="12" t="s">
        <v>2150</v>
      </c>
      <c r="E8" s="12" t="s">
        <v>2151</v>
      </c>
      <c r="F8" s="12" t="s">
        <v>2152</v>
      </c>
    </row>
    <row r="9" spans="1:6" ht="25" x14ac:dyDescent="0.35">
      <c r="A9" s="52">
        <v>4</v>
      </c>
      <c r="B9" s="17" t="s">
        <v>2153</v>
      </c>
      <c r="C9" s="12" t="s">
        <v>2154</v>
      </c>
      <c r="D9" s="12" t="s">
        <v>2155</v>
      </c>
      <c r="E9" s="12" t="s">
        <v>2156</v>
      </c>
      <c r="F9" s="12" t="s">
        <v>2157</v>
      </c>
    </row>
    <row r="10" spans="1:6" ht="25" x14ac:dyDescent="0.35">
      <c r="A10" s="52">
        <v>5</v>
      </c>
      <c r="B10" s="17" t="s">
        <v>2158</v>
      </c>
      <c r="C10" s="12" t="s">
        <v>2159</v>
      </c>
      <c r="D10" s="12" t="s">
        <v>2160</v>
      </c>
      <c r="E10" s="12" t="s">
        <v>2161</v>
      </c>
      <c r="F10" s="12" t="s">
        <v>2162</v>
      </c>
    </row>
    <row r="12" spans="1:6" ht="15.5" x14ac:dyDescent="0.35">
      <c r="A12" s="7" t="s">
        <v>2163</v>
      </c>
    </row>
    <row r="13" spans="1:6" ht="27.75" customHeight="1" x14ac:dyDescent="0.35">
      <c r="A13" s="4" t="s">
        <v>2164</v>
      </c>
      <c r="B13" s="4"/>
      <c r="C13" s="4"/>
      <c r="D13" s="4"/>
      <c r="E13" s="4"/>
      <c r="F13" s="4"/>
    </row>
    <row r="14" spans="1:6" ht="27.75" customHeight="1" x14ac:dyDescent="0.35">
      <c r="A14" s="4" t="s">
        <v>2165</v>
      </c>
      <c r="B14" s="4"/>
      <c r="C14" s="4"/>
      <c r="D14" s="4"/>
      <c r="E14" s="4"/>
      <c r="F14" s="4"/>
    </row>
    <row r="15" spans="1:6" ht="27.75" customHeight="1" x14ac:dyDescent="0.35">
      <c r="A15" s="4" t="s">
        <v>2166</v>
      </c>
      <c r="B15" s="4"/>
      <c r="C15" s="4"/>
      <c r="D15" s="4"/>
      <c r="E15" s="4"/>
      <c r="F15" s="4"/>
    </row>
    <row r="16" spans="1:6" ht="27.75" customHeight="1" x14ac:dyDescent="0.35">
      <c r="A16" s="4" t="s">
        <v>2167</v>
      </c>
      <c r="B16" s="4"/>
      <c r="C16" s="4"/>
      <c r="D16" s="4"/>
      <c r="E16" s="4"/>
      <c r="F16" s="4"/>
    </row>
    <row r="17" spans="1:6" ht="27.75" customHeight="1" x14ac:dyDescent="0.35">
      <c r="A17" s="4" t="s">
        <v>2168</v>
      </c>
      <c r="B17" s="4"/>
      <c r="C17" s="4"/>
      <c r="D17" s="4"/>
      <c r="E17" s="4"/>
      <c r="F17" s="4"/>
    </row>
    <row r="18" spans="1:6" ht="27.75" customHeight="1" x14ac:dyDescent="0.35">
      <c r="A18" s="4" t="s">
        <v>2169</v>
      </c>
      <c r="B18" s="4"/>
      <c r="C18" s="4"/>
      <c r="D18" s="4"/>
      <c r="E18" s="4"/>
      <c r="F18" s="4"/>
    </row>
  </sheetData>
  <mergeCells count="6">
    <mergeCell ref="A18:F18"/>
    <mergeCell ref="A13:F13"/>
    <mergeCell ref="A14:F14"/>
    <mergeCell ref="A15:F15"/>
    <mergeCell ref="A16:F16"/>
    <mergeCell ref="A17:F17"/>
  </mergeCells>
  <pageMargins left="0.75" right="0.75" top="1" bottom="1" header="0.511811023622047" footer="0.511811023622047"/>
  <pageSetup fitToHeight="0" orientation="landscape" horizontalDpi="300" verticalDpi="300"/>
  <headerFooter>
    <oddHeader>&amp;C&amp;"Aptos"&amp;10&amp;K000000 Confidential&amp;1#_x000D_</oddHeader>
    <oddFooter>&amp;C_x000D_&amp;1#&amp;"Aptos"&amp;10&amp;K000000 This is a confidential document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G45"/>
  <sheetViews>
    <sheetView showGridLines="0" zoomScaleNormal="100" workbookViewId="0"/>
  </sheetViews>
  <sheetFormatPr defaultColWidth="8.6328125" defaultRowHeight="14.5" x14ac:dyDescent="0.35"/>
  <cols>
    <col min="1" max="1" width="14" customWidth="1"/>
    <col min="2" max="2" width="18" customWidth="1"/>
    <col min="3" max="3" width="38" customWidth="1"/>
    <col min="4" max="7" width="34" customWidth="1"/>
  </cols>
  <sheetData>
    <row r="1" spans="1:7" ht="20" x14ac:dyDescent="0.4">
      <c r="A1" s="8" t="s">
        <v>2170</v>
      </c>
    </row>
    <row r="2" spans="1:7" x14ac:dyDescent="0.35">
      <c r="A2" s="6" t="s">
        <v>2171</v>
      </c>
    </row>
    <row r="3" spans="1:7" ht="15.5" x14ac:dyDescent="0.35">
      <c r="A3" s="7" t="s">
        <v>2172</v>
      </c>
    </row>
    <row r="4" spans="1:7" ht="31.5" customHeight="1" x14ac:dyDescent="0.35">
      <c r="A4" s="11" t="s">
        <v>2127</v>
      </c>
      <c r="B4" s="11" t="s">
        <v>2173</v>
      </c>
      <c r="C4" s="11" t="s">
        <v>886</v>
      </c>
    </row>
    <row r="5" spans="1:7" ht="37.5" x14ac:dyDescent="0.35">
      <c r="A5" s="20">
        <v>1</v>
      </c>
      <c r="B5" s="12" t="s">
        <v>2174</v>
      </c>
      <c r="C5" s="12" t="s">
        <v>2175</v>
      </c>
    </row>
    <row r="6" spans="1:7" ht="25" x14ac:dyDescent="0.35">
      <c r="A6" s="20">
        <v>2</v>
      </c>
      <c r="B6" s="12" t="s">
        <v>2176</v>
      </c>
      <c r="C6" s="12" t="s">
        <v>2177</v>
      </c>
    </row>
    <row r="7" spans="1:7" ht="25" x14ac:dyDescent="0.35">
      <c r="A7" s="20">
        <v>3</v>
      </c>
      <c r="B7" s="12" t="s">
        <v>2178</v>
      </c>
      <c r="C7" s="12" t="s">
        <v>2179</v>
      </c>
    </row>
    <row r="8" spans="1:7" ht="25" x14ac:dyDescent="0.35">
      <c r="A8" s="20">
        <v>4</v>
      </c>
      <c r="B8" s="12" t="s">
        <v>2180</v>
      </c>
      <c r="C8" s="12" t="s">
        <v>2181</v>
      </c>
    </row>
    <row r="9" spans="1:7" ht="25" x14ac:dyDescent="0.35">
      <c r="A9" s="20">
        <v>5</v>
      </c>
      <c r="B9" s="12" t="s">
        <v>2182</v>
      </c>
      <c r="C9" s="12" t="s">
        <v>2183</v>
      </c>
    </row>
    <row r="11" spans="1:7" ht="15.5" x14ac:dyDescent="0.35">
      <c r="A11" s="7" t="s">
        <v>2184</v>
      </c>
    </row>
    <row r="12" spans="1:7" ht="31.5" customHeight="1" x14ac:dyDescent="0.35">
      <c r="A12" s="11" t="s">
        <v>2127</v>
      </c>
      <c r="B12" s="11" t="s">
        <v>2173</v>
      </c>
      <c r="C12" s="11" t="s">
        <v>2185</v>
      </c>
      <c r="D12" s="11" t="s">
        <v>2186</v>
      </c>
      <c r="E12" s="11" t="s">
        <v>2187</v>
      </c>
      <c r="F12" s="11" t="s">
        <v>2188</v>
      </c>
      <c r="G12" s="11" t="s">
        <v>2189</v>
      </c>
    </row>
    <row r="13" spans="1:7" x14ac:dyDescent="0.35">
      <c r="A13" s="20">
        <v>1</v>
      </c>
      <c r="B13" s="12" t="s">
        <v>2190</v>
      </c>
      <c r="C13" s="53" t="s">
        <v>2191</v>
      </c>
      <c r="D13" s="12" t="s">
        <v>2192</v>
      </c>
      <c r="E13" s="12" t="s">
        <v>2193</v>
      </c>
      <c r="F13" s="12" t="s">
        <v>2194</v>
      </c>
      <c r="G13" s="12" t="s">
        <v>2195</v>
      </c>
    </row>
    <row r="14" spans="1:7" ht="25" x14ac:dyDescent="0.35">
      <c r="A14" s="20">
        <v>2</v>
      </c>
      <c r="B14" s="12" t="s">
        <v>2196</v>
      </c>
      <c r="C14" s="53" t="s">
        <v>2197</v>
      </c>
      <c r="D14" s="12" t="s">
        <v>2198</v>
      </c>
      <c r="E14" s="12" t="s">
        <v>2199</v>
      </c>
      <c r="F14" s="12" t="s">
        <v>2200</v>
      </c>
      <c r="G14" s="12" t="s">
        <v>2201</v>
      </c>
    </row>
    <row r="15" spans="1:7" ht="25" x14ac:dyDescent="0.35">
      <c r="A15" s="20">
        <v>3</v>
      </c>
      <c r="B15" s="12" t="s">
        <v>2202</v>
      </c>
      <c r="C15" s="53" t="s">
        <v>2203</v>
      </c>
      <c r="D15" s="12" t="s">
        <v>2204</v>
      </c>
      <c r="E15" s="12" t="s">
        <v>2205</v>
      </c>
      <c r="F15" s="12" t="s">
        <v>2206</v>
      </c>
      <c r="G15" s="12" t="s">
        <v>2207</v>
      </c>
    </row>
    <row r="16" spans="1:7" ht="25" x14ac:dyDescent="0.35">
      <c r="A16" s="20">
        <v>4</v>
      </c>
      <c r="B16" s="12" t="s">
        <v>2208</v>
      </c>
      <c r="C16" s="53" t="s">
        <v>2209</v>
      </c>
      <c r="D16" s="12" t="s">
        <v>2210</v>
      </c>
      <c r="E16" s="12" t="s">
        <v>2211</v>
      </c>
      <c r="F16" s="12" t="s">
        <v>2212</v>
      </c>
      <c r="G16" s="12" t="s">
        <v>2213</v>
      </c>
    </row>
    <row r="17" spans="1:7" ht="25" x14ac:dyDescent="0.35">
      <c r="A17" s="20">
        <v>5</v>
      </c>
      <c r="B17" s="12" t="s">
        <v>2214</v>
      </c>
      <c r="C17" s="53" t="s">
        <v>2215</v>
      </c>
      <c r="D17" s="12" t="s">
        <v>2216</v>
      </c>
      <c r="E17" s="12" t="s">
        <v>2217</v>
      </c>
      <c r="F17" s="12" t="s">
        <v>2218</v>
      </c>
      <c r="G17" s="12" t="s">
        <v>2219</v>
      </c>
    </row>
    <row r="19" spans="1:7" ht="15.5" x14ac:dyDescent="0.35">
      <c r="A19" s="7" t="s">
        <v>2220</v>
      </c>
    </row>
    <row r="20" spans="1:7" x14ac:dyDescent="0.35">
      <c r="A20" s="11" t="s">
        <v>2221</v>
      </c>
      <c r="B20" s="11">
        <v>1</v>
      </c>
      <c r="C20" s="11">
        <v>2</v>
      </c>
      <c r="D20" s="11">
        <v>3</v>
      </c>
      <c r="E20" s="11">
        <v>4</v>
      </c>
      <c r="F20" s="11">
        <v>5</v>
      </c>
    </row>
    <row r="21" spans="1:7" x14ac:dyDescent="0.35">
      <c r="A21" s="50">
        <v>5</v>
      </c>
      <c r="B21" s="54">
        <f t="shared" ref="B21:F25" si="0">$A21*B$20</f>
        <v>5</v>
      </c>
      <c r="C21" s="55">
        <f t="shared" si="0"/>
        <v>10</v>
      </c>
      <c r="D21" s="55">
        <f t="shared" si="0"/>
        <v>15</v>
      </c>
      <c r="E21" s="56">
        <f t="shared" si="0"/>
        <v>20</v>
      </c>
      <c r="F21" s="56">
        <f t="shared" si="0"/>
        <v>25</v>
      </c>
    </row>
    <row r="22" spans="1:7" x14ac:dyDescent="0.35">
      <c r="A22" s="50">
        <v>4</v>
      </c>
      <c r="B22" s="57">
        <f t="shared" si="0"/>
        <v>4</v>
      </c>
      <c r="C22" s="54">
        <f t="shared" si="0"/>
        <v>8</v>
      </c>
      <c r="D22" s="55">
        <f t="shared" si="0"/>
        <v>12</v>
      </c>
      <c r="E22" s="55">
        <f t="shared" si="0"/>
        <v>16</v>
      </c>
      <c r="F22" s="56">
        <f t="shared" si="0"/>
        <v>20</v>
      </c>
    </row>
    <row r="23" spans="1:7" x14ac:dyDescent="0.35">
      <c r="A23" s="50">
        <v>3</v>
      </c>
      <c r="B23" s="57">
        <f t="shared" si="0"/>
        <v>3</v>
      </c>
      <c r="C23" s="54">
        <f t="shared" si="0"/>
        <v>6</v>
      </c>
      <c r="D23" s="54">
        <f t="shared" si="0"/>
        <v>9</v>
      </c>
      <c r="E23" s="55">
        <f t="shared" si="0"/>
        <v>12</v>
      </c>
      <c r="F23" s="55">
        <f t="shared" si="0"/>
        <v>15</v>
      </c>
    </row>
    <row r="24" spans="1:7" x14ac:dyDescent="0.35">
      <c r="A24" s="50">
        <v>2</v>
      </c>
      <c r="B24" s="57">
        <f t="shared" si="0"/>
        <v>2</v>
      </c>
      <c r="C24" s="57">
        <f t="shared" si="0"/>
        <v>4</v>
      </c>
      <c r="D24" s="54">
        <f t="shared" si="0"/>
        <v>6</v>
      </c>
      <c r="E24" s="54">
        <f t="shared" si="0"/>
        <v>8</v>
      </c>
      <c r="F24" s="55">
        <f t="shared" si="0"/>
        <v>10</v>
      </c>
    </row>
    <row r="25" spans="1:7" x14ac:dyDescent="0.35">
      <c r="A25" s="50">
        <v>1</v>
      </c>
      <c r="B25" s="57">
        <f t="shared" si="0"/>
        <v>1</v>
      </c>
      <c r="C25" s="57">
        <f t="shared" si="0"/>
        <v>2</v>
      </c>
      <c r="D25" s="57">
        <f t="shared" si="0"/>
        <v>3</v>
      </c>
      <c r="E25" s="57">
        <f t="shared" si="0"/>
        <v>4</v>
      </c>
      <c r="F25" s="54">
        <f t="shared" si="0"/>
        <v>5</v>
      </c>
    </row>
    <row r="27" spans="1:7" ht="15.5" x14ac:dyDescent="0.35">
      <c r="A27" s="7" t="s">
        <v>2222</v>
      </c>
    </row>
    <row r="28" spans="1:7" ht="48" x14ac:dyDescent="0.35">
      <c r="A28" s="15" t="s">
        <v>2223</v>
      </c>
    </row>
    <row r="29" spans="1:7" ht="31.5" customHeight="1" x14ac:dyDescent="0.35">
      <c r="A29" s="11" t="s">
        <v>2224</v>
      </c>
      <c r="B29" s="11" t="s">
        <v>928</v>
      </c>
      <c r="C29" s="11" t="s">
        <v>2225</v>
      </c>
      <c r="D29" s="11" t="s">
        <v>2226</v>
      </c>
    </row>
    <row r="30" spans="1:7" ht="25" x14ac:dyDescent="0.35">
      <c r="A30" s="58">
        <v>0</v>
      </c>
      <c r="B30" s="59" t="s">
        <v>131</v>
      </c>
      <c r="C30" s="12" t="s">
        <v>2227</v>
      </c>
      <c r="D30" s="53" t="s">
        <v>2228</v>
      </c>
    </row>
    <row r="31" spans="1:7" x14ac:dyDescent="0.35">
      <c r="A31" s="58">
        <v>5</v>
      </c>
      <c r="B31" s="60" t="s">
        <v>130</v>
      </c>
      <c r="C31" s="12" t="s">
        <v>2229</v>
      </c>
      <c r="D31" s="53" t="s">
        <v>2230</v>
      </c>
    </row>
    <row r="32" spans="1:7" ht="25" x14ac:dyDescent="0.35">
      <c r="A32" s="58">
        <v>10</v>
      </c>
      <c r="B32" s="61" t="s">
        <v>129</v>
      </c>
      <c r="C32" s="12" t="s">
        <v>2231</v>
      </c>
      <c r="D32" s="53" t="s">
        <v>2232</v>
      </c>
    </row>
    <row r="33" spans="1:4" ht="25" x14ac:dyDescent="0.35">
      <c r="A33" s="58">
        <v>17</v>
      </c>
      <c r="B33" s="62" t="s">
        <v>128</v>
      </c>
      <c r="C33" s="12" t="s">
        <v>2233</v>
      </c>
      <c r="D33" s="53" t="s">
        <v>2234</v>
      </c>
    </row>
    <row r="35" spans="1:4" ht="15.5" x14ac:dyDescent="0.35">
      <c r="A35" s="7" t="s">
        <v>2235</v>
      </c>
    </row>
    <row r="36" spans="1:4" ht="132" x14ac:dyDescent="0.35">
      <c r="A36" s="15" t="s">
        <v>2236</v>
      </c>
    </row>
    <row r="37" spans="1:4" ht="31.5" customHeight="1" x14ac:dyDescent="0.35">
      <c r="A37" s="11" t="s">
        <v>2237</v>
      </c>
      <c r="B37" s="11" t="s">
        <v>2238</v>
      </c>
      <c r="C37" s="11" t="s">
        <v>2239</v>
      </c>
    </row>
    <row r="38" spans="1:4" x14ac:dyDescent="0.35">
      <c r="A38" s="20">
        <v>0</v>
      </c>
      <c r="B38" s="12" t="s">
        <v>2133</v>
      </c>
      <c r="C38" s="63">
        <v>0</v>
      </c>
    </row>
    <row r="39" spans="1:4" x14ac:dyDescent="0.35">
      <c r="A39" s="20">
        <v>1</v>
      </c>
      <c r="B39" s="12" t="s">
        <v>2138</v>
      </c>
      <c r="C39" s="63">
        <v>0.1</v>
      </c>
    </row>
    <row r="40" spans="1:4" x14ac:dyDescent="0.35">
      <c r="A40" s="20">
        <v>2</v>
      </c>
      <c r="B40" s="12" t="s">
        <v>2143</v>
      </c>
      <c r="C40" s="63">
        <v>0.3</v>
      </c>
    </row>
    <row r="41" spans="1:4" x14ac:dyDescent="0.35">
      <c r="A41" s="20">
        <v>3</v>
      </c>
      <c r="B41" s="12" t="s">
        <v>2148</v>
      </c>
      <c r="C41" s="63">
        <v>0.55000000000000004</v>
      </c>
    </row>
    <row r="42" spans="1:4" x14ac:dyDescent="0.35">
      <c r="A42" s="20">
        <v>4</v>
      </c>
      <c r="B42" s="12" t="s">
        <v>2153</v>
      </c>
      <c r="C42" s="63">
        <v>0.75</v>
      </c>
    </row>
    <row r="43" spans="1:4" x14ac:dyDescent="0.35">
      <c r="A43" s="20">
        <v>5</v>
      </c>
      <c r="B43" s="12" t="s">
        <v>2158</v>
      </c>
      <c r="C43" s="63">
        <v>0.9</v>
      </c>
    </row>
    <row r="45" spans="1:4" ht="96" x14ac:dyDescent="0.35">
      <c r="A45" s="15" t="s">
        <v>2240</v>
      </c>
    </row>
  </sheetData>
  <pageMargins left="0.75" right="0.75" top="1" bottom="1" header="0.511811023622047" footer="0.511811023622047"/>
  <pageSetup fitToHeight="0" orientation="landscape" horizontalDpi="300" verticalDpi="300"/>
  <headerFooter>
    <oddHeader>&amp;C&amp;"Aptos"&amp;10&amp;K000000 Confidential&amp;1#_x000D_</oddHeader>
    <oddFooter>&amp;C_x000D_&amp;1#&amp;"Aptos"&amp;10&amp;K000000 This is a confidential document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I25"/>
  <sheetViews>
    <sheetView showGridLines="0" zoomScaleNormal="100" workbookViewId="0"/>
  </sheetViews>
  <sheetFormatPr defaultColWidth="8.6328125" defaultRowHeight="14.5" x14ac:dyDescent="0.35"/>
  <cols>
    <col min="1" max="1" width="6" customWidth="1"/>
    <col min="2" max="2" width="8" customWidth="1"/>
    <col min="3" max="3" width="30" customWidth="1"/>
    <col min="4" max="4" width="60" customWidth="1"/>
    <col min="5" max="7" width="12" customWidth="1"/>
    <col min="8" max="9" width="16" customWidth="1"/>
  </cols>
  <sheetData>
    <row r="1" spans="1:9" ht="20" x14ac:dyDescent="0.4">
      <c r="A1" s="8" t="s">
        <v>2241</v>
      </c>
    </row>
    <row r="2" spans="1:9" x14ac:dyDescent="0.35">
      <c r="A2" s="6" t="s">
        <v>2242</v>
      </c>
    </row>
    <row r="4" spans="1:9" ht="31.5" customHeight="1" x14ac:dyDescent="0.35">
      <c r="A4" s="11" t="s">
        <v>2243</v>
      </c>
      <c r="B4" s="11" t="s">
        <v>2244</v>
      </c>
      <c r="C4" s="11" t="s">
        <v>61</v>
      </c>
      <c r="D4" s="11" t="s">
        <v>2245</v>
      </c>
      <c r="E4" s="11" t="s">
        <v>2246</v>
      </c>
      <c r="F4" s="11" t="s">
        <v>2247</v>
      </c>
      <c r="G4" s="11" t="s">
        <v>2248</v>
      </c>
      <c r="H4" s="11" t="s">
        <v>2249</v>
      </c>
      <c r="I4" s="11" t="s">
        <v>94</v>
      </c>
    </row>
    <row r="5" spans="1:9" ht="25" x14ac:dyDescent="0.35">
      <c r="A5" s="20">
        <v>1</v>
      </c>
      <c r="B5" s="52" t="s">
        <v>2250</v>
      </c>
      <c r="C5" s="12" t="s">
        <v>62</v>
      </c>
      <c r="D5" s="12" t="s">
        <v>2251</v>
      </c>
      <c r="E5" s="58">
        <v>50</v>
      </c>
      <c r="F5" s="20">
        <f>COUNTIF(Control_Library!$A$5:$A$3000,B5&amp;"-*")</f>
        <v>0</v>
      </c>
      <c r="G5" s="34">
        <f t="shared" ref="G5:G22" si="0">IF(E5=0,"n/a",F5/E5)</f>
        <v>0</v>
      </c>
      <c r="H5" s="58" t="s">
        <v>2252</v>
      </c>
      <c r="I5" s="20" t="str">
        <f t="shared" ref="I5:I22" si="1">IF(E5=0,"Placeholder",IF(F5=0,"Not started",IF(F5&gt;=E5,"Complete","In progress")))</f>
        <v>Not started</v>
      </c>
    </row>
    <row r="6" spans="1:9" ht="25" x14ac:dyDescent="0.35">
      <c r="A6" s="20">
        <v>2</v>
      </c>
      <c r="B6" s="52" t="s">
        <v>2253</v>
      </c>
      <c r="C6" s="12" t="s">
        <v>63</v>
      </c>
      <c r="D6" s="12" t="s">
        <v>2254</v>
      </c>
      <c r="E6" s="58">
        <v>25</v>
      </c>
      <c r="F6" s="20">
        <f>COUNTIF(Control_Library!$A$5:$A$3000,B6&amp;"-*")</f>
        <v>0</v>
      </c>
      <c r="G6" s="34">
        <f t="shared" si="0"/>
        <v>0</v>
      </c>
      <c r="H6" s="58" t="s">
        <v>2252</v>
      </c>
      <c r="I6" s="20" t="str">
        <f t="shared" si="1"/>
        <v>Not started</v>
      </c>
    </row>
    <row r="7" spans="1:9" ht="37.5" x14ac:dyDescent="0.35">
      <c r="A7" s="20">
        <v>3</v>
      </c>
      <c r="B7" s="52" t="s">
        <v>2255</v>
      </c>
      <c r="C7" s="12" t="s">
        <v>64</v>
      </c>
      <c r="D7" s="12" t="s">
        <v>2256</v>
      </c>
      <c r="E7" s="58">
        <v>60</v>
      </c>
      <c r="F7" s="20">
        <f>COUNTIF(Control_Library!$A$5:$A$3000,B7&amp;"-*")</f>
        <v>0</v>
      </c>
      <c r="G7" s="34">
        <f t="shared" si="0"/>
        <v>0</v>
      </c>
      <c r="H7" s="58" t="s">
        <v>2257</v>
      </c>
      <c r="I7" s="20" t="str">
        <f t="shared" si="1"/>
        <v>Not started</v>
      </c>
    </row>
    <row r="8" spans="1:9" ht="25" x14ac:dyDescent="0.35">
      <c r="A8" s="20">
        <v>4</v>
      </c>
      <c r="B8" s="52" t="s">
        <v>2258</v>
      </c>
      <c r="C8" s="12" t="s">
        <v>65</v>
      </c>
      <c r="D8" s="12" t="s">
        <v>2259</v>
      </c>
      <c r="E8" s="58">
        <v>50</v>
      </c>
      <c r="F8" s="20">
        <f>COUNTIF(Control_Library!$A$5:$A$3000,B8&amp;"-*")</f>
        <v>0</v>
      </c>
      <c r="G8" s="34">
        <f t="shared" si="0"/>
        <v>0</v>
      </c>
      <c r="H8" s="58" t="s">
        <v>2260</v>
      </c>
      <c r="I8" s="20" t="str">
        <f t="shared" si="1"/>
        <v>Not started</v>
      </c>
    </row>
    <row r="9" spans="1:9" x14ac:dyDescent="0.35">
      <c r="A9" s="20">
        <v>5</v>
      </c>
      <c r="B9" s="52" t="s">
        <v>2261</v>
      </c>
      <c r="C9" s="12" t="s">
        <v>66</v>
      </c>
      <c r="D9" s="12" t="s">
        <v>2262</v>
      </c>
      <c r="E9" s="58">
        <v>60</v>
      </c>
      <c r="F9" s="20">
        <f>COUNTIF(Control_Library!$A$5:$A$3000,B9&amp;"-*")</f>
        <v>60</v>
      </c>
      <c r="G9" s="34">
        <f t="shared" si="0"/>
        <v>1</v>
      </c>
      <c r="H9" s="58" t="s">
        <v>2263</v>
      </c>
      <c r="I9" s="20" t="str">
        <f t="shared" si="1"/>
        <v>Complete</v>
      </c>
    </row>
    <row r="10" spans="1:9" x14ac:dyDescent="0.35">
      <c r="A10" s="20">
        <v>6</v>
      </c>
      <c r="B10" s="52" t="s">
        <v>2264</v>
      </c>
      <c r="C10" s="12" t="s">
        <v>67</v>
      </c>
      <c r="D10" s="12" t="s">
        <v>2265</v>
      </c>
      <c r="E10" s="58">
        <v>75</v>
      </c>
      <c r="F10" s="20">
        <f>COUNTIF(Control_Library!$A$5:$A$3000,B10&amp;"-*")</f>
        <v>0</v>
      </c>
      <c r="G10" s="34">
        <f t="shared" si="0"/>
        <v>0</v>
      </c>
      <c r="H10" s="58" t="s">
        <v>2260</v>
      </c>
      <c r="I10" s="20" t="str">
        <f t="shared" si="1"/>
        <v>Not started</v>
      </c>
    </row>
    <row r="11" spans="1:9" ht="25" x14ac:dyDescent="0.35">
      <c r="A11" s="20">
        <v>7</v>
      </c>
      <c r="B11" s="52" t="s">
        <v>2266</v>
      </c>
      <c r="C11" s="12" t="s">
        <v>68</v>
      </c>
      <c r="D11" s="12" t="s">
        <v>2267</v>
      </c>
      <c r="E11" s="58">
        <v>80</v>
      </c>
      <c r="F11" s="20">
        <f>COUNTIF(Control_Library!$A$5:$A$3000,B11&amp;"-*")</f>
        <v>0</v>
      </c>
      <c r="G11" s="34">
        <f t="shared" si="0"/>
        <v>0</v>
      </c>
      <c r="H11" s="58" t="s">
        <v>2257</v>
      </c>
      <c r="I11" s="20" t="str">
        <f t="shared" si="1"/>
        <v>Not started</v>
      </c>
    </row>
    <row r="12" spans="1:9" ht="25" x14ac:dyDescent="0.35">
      <c r="A12" s="20">
        <v>8</v>
      </c>
      <c r="B12" s="52" t="s">
        <v>2268</v>
      </c>
      <c r="C12" s="12" t="s">
        <v>69</v>
      </c>
      <c r="D12" s="12" t="s">
        <v>2269</v>
      </c>
      <c r="E12" s="58">
        <v>100</v>
      </c>
      <c r="F12" s="20">
        <f>COUNTIF(Control_Library!$A$5:$A$3000,B12&amp;"-*")</f>
        <v>0</v>
      </c>
      <c r="G12" s="34">
        <f t="shared" si="0"/>
        <v>0</v>
      </c>
      <c r="H12" s="58" t="s">
        <v>2257</v>
      </c>
      <c r="I12" s="20" t="str">
        <f t="shared" si="1"/>
        <v>Not started</v>
      </c>
    </row>
    <row r="13" spans="1:9" ht="25" x14ac:dyDescent="0.35">
      <c r="A13" s="20">
        <v>9</v>
      </c>
      <c r="B13" s="52" t="s">
        <v>2270</v>
      </c>
      <c r="C13" s="12" t="s">
        <v>70</v>
      </c>
      <c r="D13" s="12" t="s">
        <v>2271</v>
      </c>
      <c r="E13" s="58">
        <v>80</v>
      </c>
      <c r="F13" s="20">
        <f>COUNTIF(Control_Library!$A$5:$A$3000,B13&amp;"-*")</f>
        <v>0</v>
      </c>
      <c r="G13" s="34">
        <f t="shared" si="0"/>
        <v>0</v>
      </c>
      <c r="H13" s="58" t="s">
        <v>2272</v>
      </c>
      <c r="I13" s="20" t="str">
        <f t="shared" si="1"/>
        <v>Not started</v>
      </c>
    </row>
    <row r="14" spans="1:9" x14ac:dyDescent="0.35">
      <c r="A14" s="20">
        <v>10</v>
      </c>
      <c r="B14" s="52" t="s">
        <v>2273</v>
      </c>
      <c r="C14" s="12" t="s">
        <v>71</v>
      </c>
      <c r="D14" s="12" t="s">
        <v>2274</v>
      </c>
      <c r="E14" s="58">
        <v>40</v>
      </c>
      <c r="F14" s="20">
        <f>COUNTIF(Control_Library!$A$5:$A$3000,B14&amp;"-*")</f>
        <v>0</v>
      </c>
      <c r="G14" s="34">
        <f t="shared" si="0"/>
        <v>0</v>
      </c>
      <c r="H14" s="58" t="s">
        <v>2272</v>
      </c>
      <c r="I14" s="20" t="str">
        <f t="shared" si="1"/>
        <v>Not started</v>
      </c>
    </row>
    <row r="15" spans="1:9" ht="25" x14ac:dyDescent="0.35">
      <c r="A15" s="20">
        <v>11</v>
      </c>
      <c r="B15" s="52" t="s">
        <v>2275</v>
      </c>
      <c r="C15" s="12" t="s">
        <v>72</v>
      </c>
      <c r="D15" s="12" t="s">
        <v>2276</v>
      </c>
      <c r="E15" s="58">
        <v>70</v>
      </c>
      <c r="F15" s="20">
        <f>COUNTIF(Control_Library!$A$5:$A$3000,B15&amp;"-*")</f>
        <v>0</v>
      </c>
      <c r="G15" s="34">
        <f t="shared" si="0"/>
        <v>0</v>
      </c>
      <c r="H15" s="58" t="s">
        <v>2252</v>
      </c>
      <c r="I15" s="20" t="str">
        <f t="shared" si="1"/>
        <v>Not started</v>
      </c>
    </row>
    <row r="16" spans="1:9" x14ac:dyDescent="0.35">
      <c r="A16" s="20">
        <v>12</v>
      </c>
      <c r="B16" s="52" t="s">
        <v>2277</v>
      </c>
      <c r="C16" s="12" t="s">
        <v>73</v>
      </c>
      <c r="D16" s="12" t="s">
        <v>2278</v>
      </c>
      <c r="E16" s="58">
        <v>35</v>
      </c>
      <c r="F16" s="20">
        <f>COUNTIF(Control_Library!$A$5:$A$3000,B16&amp;"-*")</f>
        <v>0</v>
      </c>
      <c r="G16" s="34">
        <f t="shared" si="0"/>
        <v>0</v>
      </c>
      <c r="H16" s="58" t="s">
        <v>2252</v>
      </c>
      <c r="I16" s="20" t="str">
        <f t="shared" si="1"/>
        <v>Not started</v>
      </c>
    </row>
    <row r="17" spans="1:9" x14ac:dyDescent="0.35">
      <c r="A17" s="20">
        <v>13</v>
      </c>
      <c r="B17" s="52" t="s">
        <v>2279</v>
      </c>
      <c r="C17" s="12" t="s">
        <v>74</v>
      </c>
      <c r="D17" s="12" t="s">
        <v>2280</v>
      </c>
      <c r="E17" s="58">
        <v>40</v>
      </c>
      <c r="F17" s="20">
        <f>COUNTIF(Control_Library!$A$5:$A$3000,B17&amp;"-*")</f>
        <v>0</v>
      </c>
      <c r="G17" s="34">
        <f t="shared" si="0"/>
        <v>0</v>
      </c>
      <c r="H17" s="58" t="s">
        <v>2260</v>
      </c>
      <c r="I17" s="20" t="str">
        <f t="shared" si="1"/>
        <v>Not started</v>
      </c>
    </row>
    <row r="18" spans="1:9" x14ac:dyDescent="0.35">
      <c r="A18" s="20">
        <v>14</v>
      </c>
      <c r="B18" s="52" t="s">
        <v>2281</v>
      </c>
      <c r="C18" s="12" t="s">
        <v>75</v>
      </c>
      <c r="D18" s="12" t="s">
        <v>2282</v>
      </c>
      <c r="E18" s="58">
        <v>30</v>
      </c>
      <c r="F18" s="20">
        <f>COUNTIF(Control_Library!$A$5:$A$3000,B18&amp;"-*")</f>
        <v>0</v>
      </c>
      <c r="G18" s="34">
        <f t="shared" si="0"/>
        <v>0</v>
      </c>
      <c r="H18" s="58" t="s">
        <v>2260</v>
      </c>
      <c r="I18" s="20" t="str">
        <f t="shared" si="1"/>
        <v>Not started</v>
      </c>
    </row>
    <row r="19" spans="1:9" x14ac:dyDescent="0.35">
      <c r="A19" s="20">
        <v>15</v>
      </c>
      <c r="B19" s="52" t="s">
        <v>2283</v>
      </c>
      <c r="C19" s="12" t="s">
        <v>76</v>
      </c>
      <c r="D19" s="12" t="s">
        <v>2284</v>
      </c>
      <c r="E19" s="58">
        <v>60</v>
      </c>
      <c r="F19" s="20">
        <f>COUNTIF(Control_Library!$A$5:$A$3000,B19&amp;"-*")</f>
        <v>0</v>
      </c>
      <c r="G19" s="34">
        <f t="shared" si="0"/>
        <v>0</v>
      </c>
      <c r="H19" s="58" t="s">
        <v>2272</v>
      </c>
      <c r="I19" s="20" t="str">
        <f t="shared" si="1"/>
        <v>Not started</v>
      </c>
    </row>
    <row r="20" spans="1:9" ht="25" x14ac:dyDescent="0.35">
      <c r="A20" s="20">
        <v>16</v>
      </c>
      <c r="B20" s="52" t="s">
        <v>2285</v>
      </c>
      <c r="C20" s="12" t="s">
        <v>77</v>
      </c>
      <c r="D20" s="12" t="s">
        <v>2286</v>
      </c>
      <c r="E20" s="58">
        <v>50</v>
      </c>
      <c r="F20" s="20">
        <f>COUNTIF(Control_Library!$A$5:$A$3000,B20&amp;"-*")</f>
        <v>0</v>
      </c>
      <c r="G20" s="34">
        <f t="shared" si="0"/>
        <v>0</v>
      </c>
      <c r="H20" s="58" t="s">
        <v>2272</v>
      </c>
      <c r="I20" s="20" t="str">
        <f t="shared" si="1"/>
        <v>Not started</v>
      </c>
    </row>
    <row r="21" spans="1:9" x14ac:dyDescent="0.35">
      <c r="A21" s="20">
        <v>17</v>
      </c>
      <c r="B21" s="52" t="s">
        <v>2287</v>
      </c>
      <c r="C21" s="12" t="s">
        <v>78</v>
      </c>
      <c r="D21" s="12" t="s">
        <v>2288</v>
      </c>
      <c r="E21" s="58">
        <v>0</v>
      </c>
      <c r="F21" s="20">
        <f>COUNTIF(Control_Library!$A$5:$A$3000,B21&amp;"-*")</f>
        <v>0</v>
      </c>
      <c r="G21" s="34" t="str">
        <f t="shared" si="0"/>
        <v>n/a</v>
      </c>
      <c r="H21" s="58" t="s">
        <v>2289</v>
      </c>
      <c r="I21" s="20" t="str">
        <f t="shared" si="1"/>
        <v>Placeholder</v>
      </c>
    </row>
    <row r="22" spans="1:9" x14ac:dyDescent="0.35">
      <c r="A22" s="20">
        <v>18</v>
      </c>
      <c r="B22" s="52" t="s">
        <v>2290</v>
      </c>
      <c r="C22" s="12" t="s">
        <v>79</v>
      </c>
      <c r="D22" s="12" t="s">
        <v>2291</v>
      </c>
      <c r="E22" s="58">
        <v>0</v>
      </c>
      <c r="F22" s="20">
        <f>COUNTIF(Control_Library!$A$5:$A$3000,B22&amp;"-*")</f>
        <v>0</v>
      </c>
      <c r="G22" s="34" t="str">
        <f t="shared" si="0"/>
        <v>n/a</v>
      </c>
      <c r="H22" s="58" t="s">
        <v>2289</v>
      </c>
      <c r="I22" s="20" t="str">
        <f t="shared" si="1"/>
        <v>Placeholder</v>
      </c>
    </row>
    <row r="23" spans="1:9" x14ac:dyDescent="0.35">
      <c r="C23" s="17" t="s">
        <v>140</v>
      </c>
      <c r="E23" s="52">
        <f>SUM(E5:E22)</f>
        <v>905</v>
      </c>
      <c r="F23" s="52">
        <f>SUM(F5:F22)</f>
        <v>60</v>
      </c>
      <c r="G23" s="64">
        <f>F23/E23</f>
        <v>6.6298342541436461E-2</v>
      </c>
    </row>
    <row r="25" spans="1:9" ht="36" x14ac:dyDescent="0.35">
      <c r="C25" s="15" t="s">
        <v>2292</v>
      </c>
    </row>
  </sheetData>
  <pageMargins left="0.75" right="0.75" top="1" bottom="1" header="0.511811023622047" footer="0.511811023622047"/>
  <pageSetup fitToHeight="0" orientation="landscape" horizontalDpi="300" verticalDpi="300"/>
  <headerFooter>
    <oddHeader>&amp;C&amp;"Aptos"&amp;10&amp;K000000 Confidential&amp;1#_x000D_</oddHeader>
    <oddFooter>&amp;C_x000D_&amp;1#&amp;"Aptos"&amp;10&amp;K000000 This is a confidential document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sheetPr>
  <dimension ref="A1:P19"/>
  <sheetViews>
    <sheetView showGridLines="0" tabSelected="1" zoomScaleNormal="100" workbookViewId="0"/>
  </sheetViews>
  <sheetFormatPr defaultColWidth="8.6328125" defaultRowHeight="14.5" x14ac:dyDescent="0.35"/>
  <cols>
    <col min="1" max="16" width="22" customWidth="1"/>
  </cols>
  <sheetData>
    <row r="1" spans="1:16" ht="20" x14ac:dyDescent="0.4">
      <c r="A1" s="8" t="s">
        <v>2293</v>
      </c>
    </row>
    <row r="3" spans="1:16" x14ac:dyDescent="0.35">
      <c r="A3" s="11" t="s">
        <v>139</v>
      </c>
      <c r="B3" s="11" t="s">
        <v>2294</v>
      </c>
      <c r="C3" s="11" t="s">
        <v>2295</v>
      </c>
      <c r="D3" s="11" t="s">
        <v>940</v>
      </c>
      <c r="E3" s="11" t="s">
        <v>2296</v>
      </c>
      <c r="F3" s="11" t="s">
        <v>2297</v>
      </c>
      <c r="G3" s="11" t="s">
        <v>2298</v>
      </c>
      <c r="H3" s="11" t="s">
        <v>2299</v>
      </c>
      <c r="I3" s="11" t="s">
        <v>2300</v>
      </c>
      <c r="J3" s="11" t="s">
        <v>31</v>
      </c>
      <c r="K3" s="11" t="s">
        <v>894</v>
      </c>
      <c r="L3" s="11" t="s">
        <v>2301</v>
      </c>
      <c r="M3" s="11" t="s">
        <v>2302</v>
      </c>
      <c r="N3" s="11" t="s">
        <v>2237</v>
      </c>
      <c r="O3" s="11" t="s">
        <v>2303</v>
      </c>
      <c r="P3" s="11" t="s">
        <v>2304</v>
      </c>
    </row>
    <row r="4" spans="1:16" x14ac:dyDescent="0.35">
      <c r="A4" s="12" t="s">
        <v>128</v>
      </c>
      <c r="B4" s="12" t="s">
        <v>919</v>
      </c>
      <c r="C4" s="12" t="s">
        <v>2305</v>
      </c>
      <c r="D4" s="12" t="s">
        <v>2306</v>
      </c>
      <c r="E4" s="12" t="s">
        <v>934</v>
      </c>
      <c r="F4" s="12" t="s">
        <v>896</v>
      </c>
      <c r="G4" s="12" t="s">
        <v>2307</v>
      </c>
      <c r="H4" s="12" t="s">
        <v>899</v>
      </c>
      <c r="I4" s="12" t="s">
        <v>54</v>
      </c>
      <c r="J4" s="12" t="s">
        <v>34</v>
      </c>
      <c r="K4" s="12" t="s">
        <v>2308</v>
      </c>
      <c r="L4" s="12" t="s">
        <v>375</v>
      </c>
      <c r="M4" s="12" t="s">
        <v>2309</v>
      </c>
      <c r="N4" s="12">
        <v>0</v>
      </c>
      <c r="O4" s="12">
        <v>1</v>
      </c>
      <c r="P4" s="12" t="s">
        <v>2185</v>
      </c>
    </row>
    <row r="5" spans="1:16" x14ac:dyDescent="0.35">
      <c r="A5" s="12" t="s">
        <v>129</v>
      </c>
      <c r="B5" s="12" t="s">
        <v>948</v>
      </c>
      <c r="C5" s="12" t="s">
        <v>948</v>
      </c>
      <c r="D5" s="12" t="s">
        <v>947</v>
      </c>
      <c r="E5" s="12" t="s">
        <v>2310</v>
      </c>
      <c r="F5" s="12" t="s">
        <v>2311</v>
      </c>
      <c r="G5" s="12" t="s">
        <v>903</v>
      </c>
      <c r="H5" s="12" t="s">
        <v>2312</v>
      </c>
      <c r="I5" s="12" t="s">
        <v>2313</v>
      </c>
      <c r="J5" s="12" t="s">
        <v>36</v>
      </c>
      <c r="K5" s="12" t="s">
        <v>2314</v>
      </c>
      <c r="L5" s="12" t="s">
        <v>2315</v>
      </c>
      <c r="M5" s="12" t="s">
        <v>2314</v>
      </c>
      <c r="N5" s="12">
        <v>1</v>
      </c>
      <c r="O5" s="12">
        <v>2</v>
      </c>
      <c r="P5" s="12" t="s">
        <v>2186</v>
      </c>
    </row>
    <row r="6" spans="1:16" x14ac:dyDescent="0.35">
      <c r="A6" s="12" t="s">
        <v>130</v>
      </c>
      <c r="B6" s="12" t="s">
        <v>2316</v>
      </c>
      <c r="C6" s="12" t="s">
        <v>2317</v>
      </c>
      <c r="D6" s="12" t="s">
        <v>2318</v>
      </c>
      <c r="E6" s="12" t="s">
        <v>2319</v>
      </c>
      <c r="F6" s="12" t="s">
        <v>2320</v>
      </c>
      <c r="G6" s="12" t="s">
        <v>2321</v>
      </c>
      <c r="H6" s="12" t="s">
        <v>2322</v>
      </c>
      <c r="J6" s="12" t="s">
        <v>38</v>
      </c>
      <c r="K6" s="12" t="s">
        <v>904</v>
      </c>
      <c r="L6" s="12" t="s">
        <v>2323</v>
      </c>
      <c r="M6" s="12" t="s">
        <v>2324</v>
      </c>
      <c r="N6" s="12">
        <v>2</v>
      </c>
      <c r="O6" s="12">
        <v>3</v>
      </c>
      <c r="P6" s="12" t="s">
        <v>935</v>
      </c>
    </row>
    <row r="7" spans="1:16" x14ac:dyDescent="0.35">
      <c r="A7" s="12" t="s">
        <v>131</v>
      </c>
      <c r="B7" s="12" t="s">
        <v>2325</v>
      </c>
      <c r="C7" s="12" t="s">
        <v>2326</v>
      </c>
      <c r="D7" s="12" t="s">
        <v>2327</v>
      </c>
      <c r="E7" s="12" t="s">
        <v>2328</v>
      </c>
      <c r="F7" s="12" t="s">
        <v>2329</v>
      </c>
      <c r="G7" s="12" t="s">
        <v>2330</v>
      </c>
      <c r="J7" s="12" t="s">
        <v>40</v>
      </c>
      <c r="K7" s="12" t="s">
        <v>970</v>
      </c>
      <c r="L7" s="12" t="s">
        <v>2331</v>
      </c>
      <c r="M7" s="12" t="s">
        <v>989</v>
      </c>
      <c r="N7" s="12">
        <v>3</v>
      </c>
      <c r="O7" s="12">
        <v>4</v>
      </c>
      <c r="P7" s="12" t="s">
        <v>2188</v>
      </c>
    </row>
    <row r="8" spans="1:16" x14ac:dyDescent="0.35">
      <c r="A8" s="12" t="s">
        <v>143</v>
      </c>
      <c r="B8" s="12" t="s">
        <v>2332</v>
      </c>
      <c r="C8" s="12" t="s">
        <v>2333</v>
      </c>
      <c r="F8" s="12" t="s">
        <v>2334</v>
      </c>
      <c r="J8" s="12" t="s">
        <v>42</v>
      </c>
      <c r="L8" s="12" t="s">
        <v>2335</v>
      </c>
      <c r="M8" s="12" t="s">
        <v>2336</v>
      </c>
      <c r="N8" s="12">
        <v>4</v>
      </c>
      <c r="O8" s="12">
        <v>5</v>
      </c>
      <c r="P8" s="12" t="s">
        <v>2337</v>
      </c>
    </row>
    <row r="9" spans="1:16" x14ac:dyDescent="0.35">
      <c r="C9" s="12" t="s">
        <v>2338</v>
      </c>
      <c r="F9" s="12" t="s">
        <v>2339</v>
      </c>
      <c r="L9" s="12" t="s">
        <v>1755</v>
      </c>
      <c r="N9" s="12">
        <v>5</v>
      </c>
      <c r="P9" s="12" t="s">
        <v>2122</v>
      </c>
    </row>
    <row r="10" spans="1:16" x14ac:dyDescent="0.35">
      <c r="F10" s="12" t="s">
        <v>2340</v>
      </c>
    </row>
    <row r="11" spans="1:16" x14ac:dyDescent="0.35">
      <c r="F11" s="12" t="s">
        <v>2341</v>
      </c>
    </row>
    <row r="12" spans="1:16" x14ac:dyDescent="0.35">
      <c r="F12" s="12" t="s">
        <v>2342</v>
      </c>
    </row>
    <row r="13" spans="1:16" x14ac:dyDescent="0.35">
      <c r="F13" s="12" t="s">
        <v>2343</v>
      </c>
    </row>
    <row r="14" spans="1:16" x14ac:dyDescent="0.35">
      <c r="F14" s="12" t="s">
        <v>2344</v>
      </c>
    </row>
    <row r="15" spans="1:16" x14ac:dyDescent="0.35">
      <c r="F15" s="12" t="s">
        <v>2345</v>
      </c>
    </row>
    <row r="16" spans="1:16" x14ac:dyDescent="0.35">
      <c r="F16" s="12" t="s">
        <v>2346</v>
      </c>
    </row>
    <row r="17" spans="6:6" x14ac:dyDescent="0.35">
      <c r="F17" s="12" t="s">
        <v>2347</v>
      </c>
    </row>
    <row r="18" spans="6:6" x14ac:dyDescent="0.35">
      <c r="F18" s="12" t="s">
        <v>2348</v>
      </c>
    </row>
    <row r="19" spans="6:6" x14ac:dyDescent="0.35">
      <c r="F19" s="12" t="s">
        <v>2349</v>
      </c>
    </row>
  </sheetData>
  <pageMargins left="0.75" right="0.75" top="1" bottom="1" header="0.511811023622047" footer="0.511811023622047"/>
  <pageSetup paperSize="9" orientation="portrait" horizontalDpi="300" verticalDpi="300"/>
  <headerFooter>
    <oddHeader>&amp;C&amp;"Aptos"&amp;10&amp;K000000 Confidential&amp;1#_x000D_</oddHeader>
    <oddFooter>&amp;C_x000D_&amp;1#&amp;"Aptos"&amp;10&amp;K000000 This is a confidential document</oddFooter>
  </headerFooter>
</worksheet>
</file>

<file path=docMetadata/LabelInfo.xml><?xml version="1.0" encoding="utf-8"?>
<clbl:labelList xmlns:clbl="http://schemas.microsoft.com/office/2020/mipLabelMetadata">
  <clbl:label id="{b38ef5be-d50d-4735-bae4-86f814ea0940}" enabled="1" method="Standard" siteId="{be3d2a5f-945c-469b-bb8a-2c50395c4601}" contentBits="3"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Scope</vt:lpstr>
      <vt:lpstr>Dashboard</vt:lpstr>
      <vt:lpstr>Assessment</vt:lpstr>
      <vt:lpstr>Evidence_Requests</vt:lpstr>
      <vt:lpstr>Evidence_Register</vt:lpstr>
      <vt:lpstr>Findings_Register</vt:lpstr>
      <vt:lpstr>Risk_Register</vt:lpstr>
      <vt:lpstr>Remediation_Tracker</vt:lpstr>
      <vt:lpstr>Crown_Jewels</vt:lpstr>
      <vt:lpstr>Attack_Paths</vt:lpstr>
      <vt:lpstr>Control_Library</vt:lpstr>
      <vt:lpstr>Mapping_Matrix</vt:lpstr>
      <vt:lpstr>MITRE_Matrix</vt:lpstr>
      <vt:lpstr>ZeroTrust_Matrix</vt:lpstr>
      <vt:lpstr>Maturity_Model</vt:lpstr>
      <vt:lpstr>Risk_Model</vt:lpstr>
      <vt:lpstr>Domain_Registry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 Mupanguri</dc:creator>
  <dc:description/>
  <cp:lastModifiedBy>Ronald Mupanguri</cp:lastModifiedBy>
  <cp:revision>1</cp:revision>
  <dcterms:created xsi:type="dcterms:W3CDTF">2026-10-04T13:44:33Z</dcterms:created>
  <dcterms:modified xsi:type="dcterms:W3CDTF">2026-10-04T13:53:15Z</dcterms:modified>
  <dc:language>en-US</dc:language>
</cp:coreProperties>
</file>